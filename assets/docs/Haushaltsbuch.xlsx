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0" documentId="11_655B4EBDD3E0F77E0D512C9EDF74AAE51FCC15BB" xr6:coauthVersionLast="47" xr6:coauthVersionMax="47" xr10:uidLastSave="{C45BF6B3-F6A6-428F-BC6B-63715FAF4835}"/>
  <bookViews>
    <workbookView xWindow="0" yWindow="0" windowWidth="16384" windowHeight="8192" tabRatio="500" xr2:uid="{00000000-000D-0000-FFFF-FFFF00000000}"/>
  </bookViews>
  <sheets>
    <sheet name="Einstellungen" sheetId="1" r:id="rId1"/>
    <sheet name="Jahresübersicht" sheetId="2" r:id="rId2"/>
    <sheet name="Januar" sheetId="3" r:id="rId3"/>
    <sheet name="Februar" sheetId="4" r:id="rId4"/>
    <sheet name="März" sheetId="5" r:id="rId5"/>
    <sheet name="April" sheetId="6" r:id="rId6"/>
    <sheet name="Mai" sheetId="7" r:id="rId7"/>
    <sheet name="Juni" sheetId="8" r:id="rId8"/>
    <sheet name="Juli" sheetId="9" r:id="rId9"/>
    <sheet name="August" sheetId="10" r:id="rId10"/>
    <sheet name="September" sheetId="11" r:id="rId11"/>
    <sheet name="Oktober" sheetId="12" r:id="rId12"/>
    <sheet name="November" sheetId="13" r:id="rId13"/>
    <sheet name="Dezember" sheetId="14" r:id="rId1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3" i="14" l="1"/>
  <c r="K37" i="14"/>
  <c r="J37" i="14"/>
  <c r="I37" i="14"/>
  <c r="H37" i="14"/>
  <c r="G37" i="14"/>
  <c r="F37" i="14"/>
  <c r="E37" i="14"/>
  <c r="D37" i="14"/>
  <c r="C37" i="14"/>
  <c r="L37" i="14" s="1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1" i="14"/>
  <c r="E93" i="13"/>
  <c r="K37" i="13"/>
  <c r="J37" i="13"/>
  <c r="I37" i="13"/>
  <c r="H37" i="13"/>
  <c r="G37" i="13"/>
  <c r="F37" i="13"/>
  <c r="E37" i="13"/>
  <c r="D37" i="13"/>
  <c r="C37" i="13"/>
  <c r="L37" i="13" s="1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1" i="13"/>
  <c r="E93" i="12"/>
  <c r="K37" i="12"/>
  <c r="J37" i="12"/>
  <c r="I37" i="12"/>
  <c r="H37" i="12"/>
  <c r="G37" i="12"/>
  <c r="F37" i="12"/>
  <c r="E37" i="12"/>
  <c r="D37" i="12"/>
  <c r="C37" i="12"/>
  <c r="L37" i="12" s="1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1" i="12"/>
  <c r="E93" i="11"/>
  <c r="K37" i="11"/>
  <c r="J37" i="11"/>
  <c r="I37" i="11"/>
  <c r="H37" i="11"/>
  <c r="G37" i="11"/>
  <c r="F37" i="11"/>
  <c r="E37" i="11"/>
  <c r="D37" i="11"/>
  <c r="C37" i="11"/>
  <c r="L37" i="11" s="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1" i="11"/>
  <c r="E93" i="10"/>
  <c r="K37" i="10"/>
  <c r="J37" i="10"/>
  <c r="I37" i="10"/>
  <c r="H37" i="10"/>
  <c r="G37" i="10"/>
  <c r="F37" i="10"/>
  <c r="E37" i="10"/>
  <c r="D37" i="10"/>
  <c r="C37" i="10"/>
  <c r="L37" i="10" s="1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1" i="10"/>
  <c r="E93" i="9"/>
  <c r="K37" i="9"/>
  <c r="J37" i="9"/>
  <c r="I37" i="9"/>
  <c r="H37" i="9"/>
  <c r="G37" i="9"/>
  <c r="F37" i="9"/>
  <c r="E37" i="9"/>
  <c r="D37" i="9"/>
  <c r="C37" i="9"/>
  <c r="L37" i="9" s="1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1" i="9"/>
  <c r="E93" i="8"/>
  <c r="K37" i="8"/>
  <c r="J37" i="8"/>
  <c r="I37" i="8"/>
  <c r="H37" i="8"/>
  <c r="G37" i="8"/>
  <c r="F37" i="8"/>
  <c r="E37" i="8"/>
  <c r="D37" i="8"/>
  <c r="C37" i="8"/>
  <c r="L37" i="8" s="1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1" i="8"/>
  <c r="E93" i="7"/>
  <c r="K37" i="7"/>
  <c r="J37" i="7"/>
  <c r="I37" i="7"/>
  <c r="H37" i="7"/>
  <c r="G37" i="7"/>
  <c r="F37" i="7"/>
  <c r="E37" i="7"/>
  <c r="D37" i="7"/>
  <c r="C37" i="7"/>
  <c r="L37" i="7" s="1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1" i="7"/>
  <c r="E93" i="6"/>
  <c r="K37" i="6"/>
  <c r="J37" i="6"/>
  <c r="I37" i="6"/>
  <c r="H37" i="6"/>
  <c r="G37" i="6"/>
  <c r="F37" i="6"/>
  <c r="E37" i="6"/>
  <c r="D37" i="6"/>
  <c r="C37" i="6"/>
  <c r="L37" i="6" s="1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1" i="6"/>
  <c r="E93" i="5"/>
  <c r="K37" i="5"/>
  <c r="J37" i="5"/>
  <c r="I37" i="5"/>
  <c r="H37" i="5"/>
  <c r="G37" i="5"/>
  <c r="F37" i="5"/>
  <c r="E37" i="5"/>
  <c r="D37" i="5"/>
  <c r="C37" i="5"/>
  <c r="L37" i="5" s="1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1" i="5"/>
  <c r="E93" i="4"/>
  <c r="K37" i="4"/>
  <c r="J37" i="4"/>
  <c r="I37" i="4"/>
  <c r="H37" i="4"/>
  <c r="G37" i="4"/>
  <c r="F37" i="4"/>
  <c r="E37" i="4"/>
  <c r="D37" i="4"/>
  <c r="C37" i="4"/>
  <c r="L37" i="4" s="1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1" i="4"/>
  <c r="E93" i="3"/>
  <c r="K37" i="3"/>
  <c r="J37" i="3"/>
  <c r="I37" i="3"/>
  <c r="H37" i="3"/>
  <c r="G37" i="3"/>
  <c r="F37" i="3"/>
  <c r="E37" i="3"/>
  <c r="D37" i="3"/>
  <c r="C37" i="3"/>
  <c r="L37" i="3" s="1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1" i="3"/>
  <c r="N68" i="2"/>
  <c r="M68" i="2"/>
  <c r="L68" i="2"/>
  <c r="K68" i="2"/>
  <c r="J68" i="2"/>
  <c r="I68" i="2"/>
  <c r="H68" i="2"/>
  <c r="G68" i="2"/>
  <c r="F68" i="2"/>
  <c r="E68" i="2"/>
  <c r="D68" i="2"/>
  <c r="C68" i="2"/>
  <c r="O68" i="2" s="1"/>
  <c r="N67" i="2"/>
  <c r="M67" i="2"/>
  <c r="L67" i="2"/>
  <c r="K67" i="2"/>
  <c r="J67" i="2"/>
  <c r="I67" i="2"/>
  <c r="H67" i="2"/>
  <c r="G67" i="2"/>
  <c r="F67" i="2"/>
  <c r="E67" i="2"/>
  <c r="D67" i="2"/>
  <c r="C67" i="2"/>
  <c r="O67" i="2" s="1"/>
  <c r="N66" i="2"/>
  <c r="M66" i="2"/>
  <c r="L66" i="2"/>
  <c r="K66" i="2"/>
  <c r="J66" i="2"/>
  <c r="I66" i="2"/>
  <c r="H66" i="2"/>
  <c r="G66" i="2"/>
  <c r="F66" i="2"/>
  <c r="E66" i="2"/>
  <c r="D66" i="2"/>
  <c r="C66" i="2"/>
  <c r="O66" i="2" s="1"/>
  <c r="N65" i="2"/>
  <c r="N69" i="2" s="1"/>
  <c r="M65" i="2"/>
  <c r="M69" i="2" s="1"/>
  <c r="L65" i="2"/>
  <c r="L69" i="2" s="1"/>
  <c r="K65" i="2"/>
  <c r="K69" i="2" s="1"/>
  <c r="J65" i="2"/>
  <c r="J69" i="2" s="1"/>
  <c r="I65" i="2"/>
  <c r="I69" i="2" s="1"/>
  <c r="H65" i="2"/>
  <c r="H69" i="2" s="1"/>
  <c r="G65" i="2"/>
  <c r="G69" i="2" s="1"/>
  <c r="F65" i="2"/>
  <c r="F69" i="2" s="1"/>
  <c r="E65" i="2"/>
  <c r="E69" i="2" s="1"/>
  <c r="D65" i="2"/>
  <c r="D69" i="2" s="1"/>
  <c r="C65" i="2"/>
  <c r="N62" i="2"/>
  <c r="M62" i="2"/>
  <c r="L62" i="2"/>
  <c r="K62" i="2"/>
  <c r="J62" i="2"/>
  <c r="I62" i="2"/>
  <c r="H62" i="2"/>
  <c r="G62" i="2"/>
  <c r="F62" i="2"/>
  <c r="E62" i="2"/>
  <c r="D62" i="2"/>
  <c r="C62" i="2"/>
  <c r="O62" i="2" s="1"/>
  <c r="N61" i="2"/>
  <c r="M61" i="2"/>
  <c r="L61" i="2"/>
  <c r="K61" i="2"/>
  <c r="J61" i="2"/>
  <c r="I61" i="2"/>
  <c r="H61" i="2"/>
  <c r="G61" i="2"/>
  <c r="F61" i="2"/>
  <c r="E61" i="2"/>
  <c r="D61" i="2"/>
  <c r="C61" i="2"/>
  <c r="O61" i="2" s="1"/>
  <c r="N60" i="2"/>
  <c r="M60" i="2"/>
  <c r="L60" i="2"/>
  <c r="K60" i="2"/>
  <c r="J60" i="2"/>
  <c r="I60" i="2"/>
  <c r="H60" i="2"/>
  <c r="G60" i="2"/>
  <c r="F60" i="2"/>
  <c r="E60" i="2"/>
  <c r="D60" i="2"/>
  <c r="C60" i="2"/>
  <c r="O60" i="2" s="1"/>
  <c r="N59" i="2"/>
  <c r="N63" i="2" s="1"/>
  <c r="M59" i="2"/>
  <c r="M63" i="2" s="1"/>
  <c r="L59" i="2"/>
  <c r="L63" i="2" s="1"/>
  <c r="K59" i="2"/>
  <c r="K63" i="2" s="1"/>
  <c r="J59" i="2"/>
  <c r="J63" i="2" s="1"/>
  <c r="I59" i="2"/>
  <c r="I63" i="2" s="1"/>
  <c r="H59" i="2"/>
  <c r="H63" i="2" s="1"/>
  <c r="G59" i="2"/>
  <c r="G63" i="2" s="1"/>
  <c r="F59" i="2"/>
  <c r="F63" i="2" s="1"/>
  <c r="E59" i="2"/>
  <c r="E63" i="2" s="1"/>
  <c r="D59" i="2"/>
  <c r="D63" i="2" s="1"/>
  <c r="C59" i="2"/>
  <c r="N56" i="2"/>
  <c r="M56" i="2"/>
  <c r="L56" i="2"/>
  <c r="K56" i="2"/>
  <c r="J56" i="2"/>
  <c r="I56" i="2"/>
  <c r="H56" i="2"/>
  <c r="G56" i="2"/>
  <c r="F56" i="2"/>
  <c r="E56" i="2"/>
  <c r="D56" i="2"/>
  <c r="C56" i="2"/>
  <c r="O56" i="2" s="1"/>
  <c r="N55" i="2"/>
  <c r="M55" i="2"/>
  <c r="L55" i="2"/>
  <c r="K55" i="2"/>
  <c r="J55" i="2"/>
  <c r="I55" i="2"/>
  <c r="H55" i="2"/>
  <c r="G55" i="2"/>
  <c r="F55" i="2"/>
  <c r="E55" i="2"/>
  <c r="D55" i="2"/>
  <c r="C55" i="2"/>
  <c r="O55" i="2" s="1"/>
  <c r="N54" i="2"/>
  <c r="M54" i="2"/>
  <c r="L54" i="2"/>
  <c r="K54" i="2"/>
  <c r="J54" i="2"/>
  <c r="I54" i="2"/>
  <c r="H54" i="2"/>
  <c r="G54" i="2"/>
  <c r="F54" i="2"/>
  <c r="E54" i="2"/>
  <c r="D54" i="2"/>
  <c r="C54" i="2"/>
  <c r="O54" i="2" s="1"/>
  <c r="N53" i="2"/>
  <c r="N57" i="2" s="1"/>
  <c r="M53" i="2"/>
  <c r="M57" i="2" s="1"/>
  <c r="L53" i="2"/>
  <c r="L57" i="2" s="1"/>
  <c r="K53" i="2"/>
  <c r="K57" i="2" s="1"/>
  <c r="J53" i="2"/>
  <c r="J57" i="2" s="1"/>
  <c r="I53" i="2"/>
  <c r="I57" i="2" s="1"/>
  <c r="H53" i="2"/>
  <c r="H57" i="2" s="1"/>
  <c r="G53" i="2"/>
  <c r="G57" i="2" s="1"/>
  <c r="F53" i="2"/>
  <c r="F57" i="2" s="1"/>
  <c r="E53" i="2"/>
  <c r="E57" i="2" s="1"/>
  <c r="D53" i="2"/>
  <c r="D57" i="2" s="1"/>
  <c r="C53" i="2"/>
  <c r="N50" i="2"/>
  <c r="M50" i="2"/>
  <c r="L50" i="2"/>
  <c r="K50" i="2"/>
  <c r="J50" i="2"/>
  <c r="I50" i="2"/>
  <c r="H50" i="2"/>
  <c r="G50" i="2"/>
  <c r="F50" i="2"/>
  <c r="E50" i="2"/>
  <c r="D50" i="2"/>
  <c r="C50" i="2"/>
  <c r="O50" i="2" s="1"/>
  <c r="N49" i="2"/>
  <c r="M49" i="2"/>
  <c r="L49" i="2"/>
  <c r="K49" i="2"/>
  <c r="J49" i="2"/>
  <c r="I49" i="2"/>
  <c r="H49" i="2"/>
  <c r="G49" i="2"/>
  <c r="F49" i="2"/>
  <c r="E49" i="2"/>
  <c r="D49" i="2"/>
  <c r="C49" i="2"/>
  <c r="O49" i="2" s="1"/>
  <c r="N48" i="2"/>
  <c r="M48" i="2"/>
  <c r="L48" i="2"/>
  <c r="K48" i="2"/>
  <c r="J48" i="2"/>
  <c r="I48" i="2"/>
  <c r="H48" i="2"/>
  <c r="G48" i="2"/>
  <c r="F48" i="2"/>
  <c r="E48" i="2"/>
  <c r="D48" i="2"/>
  <c r="C48" i="2"/>
  <c r="O48" i="2" s="1"/>
  <c r="N47" i="2"/>
  <c r="N51" i="2" s="1"/>
  <c r="M47" i="2"/>
  <c r="M51" i="2" s="1"/>
  <c r="L47" i="2"/>
  <c r="L51" i="2" s="1"/>
  <c r="K47" i="2"/>
  <c r="K51" i="2" s="1"/>
  <c r="J47" i="2"/>
  <c r="J51" i="2" s="1"/>
  <c r="I47" i="2"/>
  <c r="I51" i="2" s="1"/>
  <c r="H47" i="2"/>
  <c r="H51" i="2" s="1"/>
  <c r="G47" i="2"/>
  <c r="G51" i="2" s="1"/>
  <c r="F47" i="2"/>
  <c r="F51" i="2" s="1"/>
  <c r="E47" i="2"/>
  <c r="E51" i="2" s="1"/>
  <c r="D47" i="2"/>
  <c r="D51" i="2" s="1"/>
  <c r="C47" i="2"/>
  <c r="N44" i="2"/>
  <c r="M44" i="2"/>
  <c r="L44" i="2"/>
  <c r="K44" i="2"/>
  <c r="J44" i="2"/>
  <c r="I44" i="2"/>
  <c r="H44" i="2"/>
  <c r="G44" i="2"/>
  <c r="F44" i="2"/>
  <c r="E44" i="2"/>
  <c r="D44" i="2"/>
  <c r="C44" i="2"/>
  <c r="O44" i="2" s="1"/>
  <c r="N43" i="2"/>
  <c r="M43" i="2"/>
  <c r="L43" i="2"/>
  <c r="K43" i="2"/>
  <c r="J43" i="2"/>
  <c r="I43" i="2"/>
  <c r="H43" i="2"/>
  <c r="G43" i="2"/>
  <c r="F43" i="2"/>
  <c r="E43" i="2"/>
  <c r="D43" i="2"/>
  <c r="C43" i="2"/>
  <c r="O43" i="2" s="1"/>
  <c r="N42" i="2"/>
  <c r="M42" i="2"/>
  <c r="L42" i="2"/>
  <c r="K42" i="2"/>
  <c r="J42" i="2"/>
  <c r="I42" i="2"/>
  <c r="H42" i="2"/>
  <c r="G42" i="2"/>
  <c r="F42" i="2"/>
  <c r="E42" i="2"/>
  <c r="D42" i="2"/>
  <c r="C42" i="2"/>
  <c r="O42" i="2" s="1"/>
  <c r="N41" i="2"/>
  <c r="N45" i="2" s="1"/>
  <c r="M41" i="2"/>
  <c r="M45" i="2" s="1"/>
  <c r="L41" i="2"/>
  <c r="L45" i="2" s="1"/>
  <c r="K41" i="2"/>
  <c r="K45" i="2" s="1"/>
  <c r="J41" i="2"/>
  <c r="J45" i="2" s="1"/>
  <c r="I41" i="2"/>
  <c r="I45" i="2" s="1"/>
  <c r="H41" i="2"/>
  <c r="H45" i="2" s="1"/>
  <c r="G41" i="2"/>
  <c r="G45" i="2" s="1"/>
  <c r="F41" i="2"/>
  <c r="F45" i="2" s="1"/>
  <c r="E41" i="2"/>
  <c r="E45" i="2" s="1"/>
  <c r="D41" i="2"/>
  <c r="D45" i="2" s="1"/>
  <c r="C41" i="2"/>
  <c r="N38" i="2"/>
  <c r="M38" i="2"/>
  <c r="L38" i="2"/>
  <c r="K38" i="2"/>
  <c r="J38" i="2"/>
  <c r="I38" i="2"/>
  <c r="H38" i="2"/>
  <c r="G38" i="2"/>
  <c r="F38" i="2"/>
  <c r="E38" i="2"/>
  <c r="D38" i="2"/>
  <c r="C38" i="2"/>
  <c r="O38" i="2" s="1"/>
  <c r="N37" i="2"/>
  <c r="M37" i="2"/>
  <c r="L37" i="2"/>
  <c r="K37" i="2"/>
  <c r="J37" i="2"/>
  <c r="I37" i="2"/>
  <c r="H37" i="2"/>
  <c r="G37" i="2"/>
  <c r="F37" i="2"/>
  <c r="E37" i="2"/>
  <c r="D37" i="2"/>
  <c r="C37" i="2"/>
  <c r="O37" i="2" s="1"/>
  <c r="N36" i="2"/>
  <c r="M36" i="2"/>
  <c r="L36" i="2"/>
  <c r="K36" i="2"/>
  <c r="J36" i="2"/>
  <c r="I36" i="2"/>
  <c r="H36" i="2"/>
  <c r="G36" i="2"/>
  <c r="F36" i="2"/>
  <c r="E36" i="2"/>
  <c r="D36" i="2"/>
  <c r="C36" i="2"/>
  <c r="O36" i="2" s="1"/>
  <c r="N35" i="2"/>
  <c r="N39" i="2" s="1"/>
  <c r="M35" i="2"/>
  <c r="M39" i="2" s="1"/>
  <c r="L35" i="2"/>
  <c r="L39" i="2" s="1"/>
  <c r="K35" i="2"/>
  <c r="K39" i="2" s="1"/>
  <c r="J35" i="2"/>
  <c r="J39" i="2" s="1"/>
  <c r="I35" i="2"/>
  <c r="I39" i="2" s="1"/>
  <c r="H35" i="2"/>
  <c r="H39" i="2" s="1"/>
  <c r="G35" i="2"/>
  <c r="G39" i="2" s="1"/>
  <c r="F35" i="2"/>
  <c r="F39" i="2" s="1"/>
  <c r="E35" i="2"/>
  <c r="E39" i="2" s="1"/>
  <c r="D35" i="2"/>
  <c r="D39" i="2" s="1"/>
  <c r="C35" i="2"/>
  <c r="N32" i="2"/>
  <c r="M32" i="2"/>
  <c r="L32" i="2"/>
  <c r="K32" i="2"/>
  <c r="J32" i="2"/>
  <c r="I32" i="2"/>
  <c r="H32" i="2"/>
  <c r="G32" i="2"/>
  <c r="F32" i="2"/>
  <c r="E32" i="2"/>
  <c r="D32" i="2"/>
  <c r="C32" i="2"/>
  <c r="O32" i="2" s="1"/>
  <c r="N31" i="2"/>
  <c r="M31" i="2"/>
  <c r="L31" i="2"/>
  <c r="K31" i="2"/>
  <c r="J31" i="2"/>
  <c r="I31" i="2"/>
  <c r="H31" i="2"/>
  <c r="G31" i="2"/>
  <c r="F31" i="2"/>
  <c r="E31" i="2"/>
  <c r="D31" i="2"/>
  <c r="C31" i="2"/>
  <c r="O31" i="2" s="1"/>
  <c r="N30" i="2"/>
  <c r="M30" i="2"/>
  <c r="L30" i="2"/>
  <c r="K30" i="2"/>
  <c r="J30" i="2"/>
  <c r="I30" i="2"/>
  <c r="H30" i="2"/>
  <c r="G30" i="2"/>
  <c r="F30" i="2"/>
  <c r="E30" i="2"/>
  <c r="D30" i="2"/>
  <c r="C30" i="2"/>
  <c r="O30" i="2" s="1"/>
  <c r="N29" i="2"/>
  <c r="N33" i="2" s="1"/>
  <c r="M29" i="2"/>
  <c r="M33" i="2" s="1"/>
  <c r="L29" i="2"/>
  <c r="L33" i="2" s="1"/>
  <c r="K29" i="2"/>
  <c r="K33" i="2" s="1"/>
  <c r="J29" i="2"/>
  <c r="J33" i="2" s="1"/>
  <c r="I29" i="2"/>
  <c r="I33" i="2" s="1"/>
  <c r="H29" i="2"/>
  <c r="H33" i="2" s="1"/>
  <c r="G29" i="2"/>
  <c r="G33" i="2" s="1"/>
  <c r="F29" i="2"/>
  <c r="F33" i="2" s="1"/>
  <c r="E29" i="2"/>
  <c r="E33" i="2" s="1"/>
  <c r="D29" i="2"/>
  <c r="D33" i="2" s="1"/>
  <c r="C29" i="2"/>
  <c r="N26" i="2"/>
  <c r="M26" i="2"/>
  <c r="L26" i="2"/>
  <c r="K26" i="2"/>
  <c r="J26" i="2"/>
  <c r="I26" i="2"/>
  <c r="H26" i="2"/>
  <c r="G26" i="2"/>
  <c r="F26" i="2"/>
  <c r="E26" i="2"/>
  <c r="D26" i="2"/>
  <c r="C26" i="2"/>
  <c r="O26" i="2" s="1"/>
  <c r="N25" i="2"/>
  <c r="M25" i="2"/>
  <c r="L25" i="2"/>
  <c r="K25" i="2"/>
  <c r="J25" i="2"/>
  <c r="I25" i="2"/>
  <c r="H25" i="2"/>
  <c r="G25" i="2"/>
  <c r="F25" i="2"/>
  <c r="E25" i="2"/>
  <c r="D25" i="2"/>
  <c r="C25" i="2"/>
  <c r="O25" i="2" s="1"/>
  <c r="N24" i="2"/>
  <c r="N27" i="2" s="1"/>
  <c r="M24" i="2"/>
  <c r="M27" i="2" s="1"/>
  <c r="L24" i="2"/>
  <c r="L27" i="2" s="1"/>
  <c r="K24" i="2"/>
  <c r="K27" i="2" s="1"/>
  <c r="J24" i="2"/>
  <c r="J27" i="2" s="1"/>
  <c r="I24" i="2"/>
  <c r="I27" i="2" s="1"/>
  <c r="H24" i="2"/>
  <c r="H27" i="2" s="1"/>
  <c r="G24" i="2"/>
  <c r="G27" i="2" s="1"/>
  <c r="F24" i="2"/>
  <c r="F27" i="2" s="1"/>
  <c r="E24" i="2"/>
  <c r="E27" i="2" s="1"/>
  <c r="D24" i="2"/>
  <c r="D27" i="2" s="1"/>
  <c r="C24" i="2"/>
  <c r="N21" i="2"/>
  <c r="M21" i="2"/>
  <c r="L21" i="2"/>
  <c r="K21" i="2"/>
  <c r="J21" i="2"/>
  <c r="I21" i="2"/>
  <c r="H21" i="2"/>
  <c r="G21" i="2"/>
  <c r="F21" i="2"/>
  <c r="E21" i="2"/>
  <c r="D21" i="2"/>
  <c r="C21" i="2"/>
  <c r="O21" i="2" s="1"/>
  <c r="N20" i="2"/>
  <c r="M20" i="2"/>
  <c r="L20" i="2"/>
  <c r="K20" i="2"/>
  <c r="J20" i="2"/>
  <c r="I20" i="2"/>
  <c r="H20" i="2"/>
  <c r="G20" i="2"/>
  <c r="F20" i="2"/>
  <c r="E20" i="2"/>
  <c r="D20" i="2"/>
  <c r="C20" i="2"/>
  <c r="O20" i="2" s="1"/>
  <c r="N19" i="2"/>
  <c r="M19" i="2"/>
  <c r="L19" i="2"/>
  <c r="K19" i="2"/>
  <c r="J19" i="2"/>
  <c r="I19" i="2"/>
  <c r="H19" i="2"/>
  <c r="G19" i="2"/>
  <c r="F19" i="2"/>
  <c r="E19" i="2"/>
  <c r="D19" i="2"/>
  <c r="C19" i="2"/>
  <c r="O19" i="2" s="1"/>
  <c r="N18" i="2"/>
  <c r="M18" i="2"/>
  <c r="L18" i="2"/>
  <c r="K18" i="2"/>
  <c r="J18" i="2"/>
  <c r="I18" i="2"/>
  <c r="H18" i="2"/>
  <c r="G18" i="2"/>
  <c r="F18" i="2"/>
  <c r="E18" i="2"/>
  <c r="D18" i="2"/>
  <c r="C18" i="2"/>
  <c r="O18" i="2" s="1"/>
  <c r="N17" i="2"/>
  <c r="N22" i="2" s="1"/>
  <c r="M17" i="2"/>
  <c r="M22" i="2" s="1"/>
  <c r="L17" i="2"/>
  <c r="L22" i="2" s="1"/>
  <c r="K17" i="2"/>
  <c r="K22" i="2" s="1"/>
  <c r="J17" i="2"/>
  <c r="J22" i="2" s="1"/>
  <c r="I17" i="2"/>
  <c r="I22" i="2" s="1"/>
  <c r="H17" i="2"/>
  <c r="H22" i="2" s="1"/>
  <c r="G17" i="2"/>
  <c r="G22" i="2" s="1"/>
  <c r="F17" i="2"/>
  <c r="F22" i="2" s="1"/>
  <c r="E17" i="2"/>
  <c r="E22" i="2" s="1"/>
  <c r="D17" i="2"/>
  <c r="D22" i="2" s="1"/>
  <c r="C17" i="2"/>
  <c r="N12" i="2"/>
  <c r="M12" i="2"/>
  <c r="L12" i="2"/>
  <c r="K12" i="2"/>
  <c r="J12" i="2"/>
  <c r="I12" i="2"/>
  <c r="H12" i="2"/>
  <c r="G12" i="2"/>
  <c r="F12" i="2"/>
  <c r="E12" i="2"/>
  <c r="D12" i="2"/>
  <c r="C12" i="2"/>
  <c r="O12" i="2" s="1"/>
  <c r="N11" i="2"/>
  <c r="M11" i="2"/>
  <c r="L11" i="2"/>
  <c r="K11" i="2"/>
  <c r="J11" i="2"/>
  <c r="I11" i="2"/>
  <c r="H11" i="2"/>
  <c r="G11" i="2"/>
  <c r="F11" i="2"/>
  <c r="E11" i="2"/>
  <c r="D11" i="2"/>
  <c r="C11" i="2"/>
  <c r="O11" i="2" s="1"/>
  <c r="N10" i="2"/>
  <c r="M10" i="2"/>
  <c r="L10" i="2"/>
  <c r="K10" i="2"/>
  <c r="J10" i="2"/>
  <c r="I10" i="2"/>
  <c r="H10" i="2"/>
  <c r="G10" i="2"/>
  <c r="F10" i="2"/>
  <c r="E10" i="2"/>
  <c r="D10" i="2"/>
  <c r="C10" i="2"/>
  <c r="O10" i="2" s="1"/>
  <c r="N9" i="2"/>
  <c r="M9" i="2"/>
  <c r="L9" i="2"/>
  <c r="K9" i="2"/>
  <c r="J9" i="2"/>
  <c r="I9" i="2"/>
  <c r="H9" i="2"/>
  <c r="G9" i="2"/>
  <c r="F9" i="2"/>
  <c r="E9" i="2"/>
  <c r="D9" i="2"/>
  <c r="C9" i="2"/>
  <c r="O9" i="2" s="1"/>
  <c r="N8" i="2"/>
  <c r="M8" i="2"/>
  <c r="L8" i="2"/>
  <c r="K8" i="2"/>
  <c r="J8" i="2"/>
  <c r="I8" i="2"/>
  <c r="H8" i="2"/>
  <c r="G8" i="2"/>
  <c r="F8" i="2"/>
  <c r="E8" i="2"/>
  <c r="D8" i="2"/>
  <c r="C8" i="2"/>
  <c r="O8" i="2" s="1"/>
  <c r="N7" i="2"/>
  <c r="M7" i="2"/>
  <c r="L7" i="2"/>
  <c r="K7" i="2"/>
  <c r="J7" i="2"/>
  <c r="I7" i="2"/>
  <c r="H7" i="2"/>
  <c r="G7" i="2"/>
  <c r="F7" i="2"/>
  <c r="E7" i="2"/>
  <c r="D7" i="2"/>
  <c r="C7" i="2"/>
  <c r="O7" i="2" s="1"/>
  <c r="N6" i="2"/>
  <c r="M6" i="2"/>
  <c r="L6" i="2"/>
  <c r="K6" i="2"/>
  <c r="J6" i="2"/>
  <c r="I6" i="2"/>
  <c r="H6" i="2"/>
  <c r="G6" i="2"/>
  <c r="F6" i="2"/>
  <c r="E6" i="2"/>
  <c r="D6" i="2"/>
  <c r="C6" i="2"/>
  <c r="O6" i="2" s="1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N13" i="2" s="1"/>
  <c r="M4" i="2"/>
  <c r="M13" i="2" s="1"/>
  <c r="L4" i="2"/>
  <c r="L13" i="2" s="1"/>
  <c r="K4" i="2"/>
  <c r="K13" i="2" s="1"/>
  <c r="J4" i="2"/>
  <c r="J13" i="2" s="1"/>
  <c r="I4" i="2"/>
  <c r="I13" i="2" s="1"/>
  <c r="H4" i="2"/>
  <c r="H13" i="2" s="1"/>
  <c r="G4" i="2"/>
  <c r="G13" i="2" s="1"/>
  <c r="F4" i="2"/>
  <c r="F13" i="2" s="1"/>
  <c r="E4" i="2"/>
  <c r="E13" i="2" s="1"/>
  <c r="D4" i="2"/>
  <c r="D13" i="2" s="1"/>
  <c r="C4" i="2"/>
  <c r="A1" i="2"/>
  <c r="C13" i="2" l="1"/>
  <c r="O4" i="2"/>
  <c r="O13" i="2" s="1"/>
  <c r="C22" i="2"/>
  <c r="O17" i="2"/>
  <c r="O22" i="2" s="1"/>
  <c r="C27" i="2"/>
  <c r="O24" i="2"/>
  <c r="O27" i="2" s="1"/>
  <c r="C33" i="2"/>
  <c r="O29" i="2"/>
  <c r="O33" i="2" s="1"/>
  <c r="C39" i="2"/>
  <c r="O35" i="2"/>
  <c r="O39" i="2" s="1"/>
  <c r="C45" i="2"/>
  <c r="O41" i="2"/>
  <c r="O45" i="2" s="1"/>
  <c r="C51" i="2"/>
  <c r="O47" i="2"/>
  <c r="O51" i="2" s="1"/>
  <c r="C57" i="2"/>
  <c r="O53" i="2"/>
  <c r="O57" i="2" s="1"/>
  <c r="C63" i="2"/>
  <c r="O59" i="2"/>
  <c r="O63" i="2" s="1"/>
  <c r="C69" i="2"/>
  <c r="O65" i="2"/>
  <c r="O69" i="2" s="1"/>
  <c r="L5" i="3"/>
  <c r="B5" i="3"/>
  <c r="L6" i="3"/>
  <c r="B6" i="3"/>
  <c r="L7" i="3"/>
  <c r="B7" i="3"/>
  <c r="L8" i="3"/>
  <c r="B8" i="3"/>
  <c r="L9" i="3"/>
  <c r="B9" i="3"/>
  <c r="L10" i="3"/>
  <c r="B10" i="3"/>
  <c r="L11" i="3"/>
  <c r="B11" i="3"/>
  <c r="L12" i="3"/>
  <c r="B12" i="3"/>
  <c r="L13" i="3"/>
  <c r="B13" i="3"/>
  <c r="L14" i="3"/>
  <c r="B14" i="3"/>
  <c r="L15" i="3"/>
  <c r="B15" i="3"/>
  <c r="L16" i="3"/>
  <c r="B16" i="3"/>
  <c r="L17" i="3"/>
  <c r="B17" i="3"/>
  <c r="L18" i="3"/>
  <c r="B18" i="3"/>
  <c r="L19" i="3"/>
  <c r="B19" i="3"/>
  <c r="L20" i="3"/>
  <c r="B20" i="3"/>
  <c r="L21" i="3"/>
  <c r="B21" i="3"/>
  <c r="L22" i="3"/>
  <c r="B22" i="3"/>
  <c r="L23" i="3"/>
  <c r="B23" i="3"/>
  <c r="L24" i="3"/>
  <c r="B24" i="3"/>
  <c r="L25" i="3"/>
  <c r="B25" i="3"/>
  <c r="L26" i="3"/>
  <c r="B26" i="3"/>
  <c r="L27" i="3"/>
  <c r="B27" i="3"/>
  <c r="L28" i="3"/>
  <c r="B28" i="3"/>
  <c r="L29" i="3"/>
  <c r="B29" i="3"/>
  <c r="L30" i="3"/>
  <c r="B30" i="3"/>
  <c r="L31" i="3"/>
  <c r="B31" i="3"/>
  <c r="L32" i="3"/>
  <c r="B32" i="3"/>
  <c r="L33" i="3"/>
  <c r="B33" i="3"/>
  <c r="L34" i="3"/>
  <c r="B34" i="3"/>
  <c r="L35" i="3"/>
  <c r="B35" i="3"/>
  <c r="L5" i="4"/>
  <c r="B5" i="4"/>
  <c r="L6" i="4"/>
  <c r="B6" i="4"/>
  <c r="L7" i="4"/>
  <c r="B7" i="4"/>
  <c r="L8" i="4"/>
  <c r="B8" i="4"/>
  <c r="L9" i="4"/>
  <c r="B9" i="4"/>
  <c r="L10" i="4"/>
  <c r="B10" i="4"/>
  <c r="L11" i="4"/>
  <c r="B11" i="4"/>
  <c r="L12" i="4"/>
  <c r="B12" i="4"/>
  <c r="L13" i="4"/>
  <c r="B13" i="4"/>
  <c r="L14" i="4"/>
  <c r="B14" i="4"/>
  <c r="L15" i="4"/>
  <c r="B15" i="4"/>
  <c r="L16" i="4"/>
  <c r="B16" i="4"/>
  <c r="L17" i="4"/>
  <c r="B17" i="4"/>
  <c r="L18" i="4"/>
  <c r="B18" i="4"/>
  <c r="L19" i="4"/>
  <c r="B19" i="4"/>
  <c r="L20" i="4"/>
  <c r="B20" i="4"/>
  <c r="L21" i="4"/>
  <c r="B21" i="4"/>
  <c r="L22" i="4"/>
  <c r="B22" i="4"/>
  <c r="L23" i="4"/>
  <c r="B23" i="4"/>
  <c r="L24" i="4"/>
  <c r="B24" i="4"/>
  <c r="L25" i="4"/>
  <c r="B25" i="4"/>
  <c r="L26" i="4"/>
  <c r="B26" i="4"/>
  <c r="L27" i="4"/>
  <c r="B27" i="4"/>
  <c r="L28" i="4"/>
  <c r="B28" i="4"/>
  <c r="L29" i="4"/>
  <c r="B29" i="4"/>
  <c r="L30" i="4"/>
  <c r="B30" i="4"/>
  <c r="L31" i="4"/>
  <c r="B31" i="4"/>
  <c r="L32" i="4"/>
  <c r="B32" i="4"/>
  <c r="L33" i="4"/>
  <c r="B33" i="4"/>
  <c r="L34" i="4"/>
  <c r="B34" i="4"/>
  <c r="L35" i="4"/>
  <c r="B35" i="4"/>
  <c r="L5" i="5"/>
  <c r="B5" i="5"/>
  <c r="L6" i="5"/>
  <c r="B6" i="5"/>
  <c r="L7" i="5"/>
  <c r="B7" i="5"/>
  <c r="L8" i="5"/>
  <c r="B8" i="5"/>
  <c r="L9" i="5"/>
  <c r="B9" i="5"/>
  <c r="L10" i="5"/>
  <c r="B10" i="5"/>
  <c r="L11" i="5"/>
  <c r="B11" i="5"/>
  <c r="L12" i="5"/>
  <c r="B12" i="5"/>
  <c r="L13" i="5"/>
  <c r="B13" i="5"/>
  <c r="L14" i="5"/>
  <c r="B14" i="5"/>
  <c r="L15" i="5"/>
  <c r="B15" i="5"/>
  <c r="L16" i="5"/>
  <c r="B16" i="5"/>
  <c r="L17" i="5"/>
  <c r="B17" i="5"/>
  <c r="L18" i="5"/>
  <c r="B18" i="5"/>
  <c r="L19" i="5"/>
  <c r="B19" i="5"/>
  <c r="L20" i="5"/>
  <c r="B20" i="5"/>
  <c r="L21" i="5"/>
  <c r="B21" i="5"/>
  <c r="L22" i="5"/>
  <c r="B22" i="5"/>
  <c r="L23" i="5"/>
  <c r="B23" i="5"/>
  <c r="L24" i="5"/>
  <c r="B24" i="5"/>
  <c r="L25" i="5"/>
  <c r="B25" i="5"/>
  <c r="L26" i="5"/>
  <c r="B26" i="5"/>
  <c r="L27" i="5"/>
  <c r="B27" i="5"/>
  <c r="L28" i="5"/>
  <c r="B28" i="5"/>
  <c r="L29" i="5"/>
  <c r="B29" i="5"/>
  <c r="L30" i="5"/>
  <c r="B30" i="5"/>
  <c r="L31" i="5"/>
  <c r="B31" i="5"/>
  <c r="L32" i="5"/>
  <c r="B32" i="5"/>
  <c r="L33" i="5"/>
  <c r="B33" i="5"/>
  <c r="L34" i="5"/>
  <c r="B34" i="5"/>
  <c r="L35" i="5"/>
  <c r="B35" i="5"/>
  <c r="L5" i="6"/>
  <c r="B5" i="6"/>
  <c r="L6" i="6"/>
  <c r="B6" i="6"/>
  <c r="L7" i="6"/>
  <c r="B7" i="6"/>
  <c r="L8" i="6"/>
  <c r="B8" i="6"/>
  <c r="L9" i="6"/>
  <c r="B9" i="6"/>
  <c r="L10" i="6"/>
  <c r="B10" i="6"/>
  <c r="L11" i="6"/>
  <c r="B11" i="6"/>
  <c r="L12" i="6"/>
  <c r="B12" i="6"/>
  <c r="L13" i="6"/>
  <c r="B13" i="6"/>
  <c r="L14" i="6"/>
  <c r="B14" i="6"/>
  <c r="L15" i="6"/>
  <c r="B15" i="6"/>
  <c r="L16" i="6"/>
  <c r="B16" i="6"/>
  <c r="L17" i="6"/>
  <c r="B17" i="6"/>
  <c r="L18" i="6"/>
  <c r="B18" i="6"/>
  <c r="L19" i="6"/>
  <c r="B19" i="6"/>
  <c r="L20" i="6"/>
  <c r="B20" i="6"/>
  <c r="L21" i="6"/>
  <c r="B21" i="6"/>
  <c r="L22" i="6"/>
  <c r="B22" i="6"/>
  <c r="L23" i="6"/>
  <c r="B23" i="6"/>
  <c r="L24" i="6"/>
  <c r="B24" i="6"/>
  <c r="L25" i="6"/>
  <c r="B25" i="6"/>
  <c r="L26" i="6"/>
  <c r="B26" i="6"/>
  <c r="L27" i="6"/>
  <c r="B27" i="6"/>
  <c r="L28" i="6"/>
  <c r="B28" i="6"/>
  <c r="L29" i="6"/>
  <c r="B29" i="6"/>
  <c r="L30" i="6"/>
  <c r="B30" i="6"/>
  <c r="L31" i="6"/>
  <c r="B31" i="6"/>
  <c r="L32" i="6"/>
  <c r="B32" i="6"/>
  <c r="L33" i="6"/>
  <c r="B33" i="6"/>
  <c r="L34" i="6"/>
  <c r="B34" i="6"/>
  <c r="L35" i="6"/>
  <c r="B35" i="6"/>
  <c r="L5" i="7"/>
  <c r="B5" i="7"/>
  <c r="L6" i="7"/>
  <c r="B6" i="7"/>
  <c r="L7" i="7"/>
  <c r="B7" i="7"/>
  <c r="L8" i="7"/>
  <c r="B8" i="7"/>
  <c r="L9" i="7"/>
  <c r="B9" i="7"/>
  <c r="L10" i="7"/>
  <c r="B10" i="7"/>
  <c r="L11" i="7"/>
  <c r="B11" i="7"/>
  <c r="L12" i="7"/>
  <c r="B12" i="7"/>
  <c r="L13" i="7"/>
  <c r="B13" i="7"/>
  <c r="L14" i="7"/>
  <c r="B14" i="7"/>
  <c r="L15" i="7"/>
  <c r="B15" i="7"/>
  <c r="L16" i="7"/>
  <c r="B16" i="7"/>
  <c r="L17" i="7"/>
  <c r="B17" i="7"/>
  <c r="L18" i="7"/>
  <c r="B18" i="7"/>
  <c r="L19" i="7"/>
  <c r="B19" i="7"/>
  <c r="L20" i="7"/>
  <c r="B20" i="7"/>
  <c r="L21" i="7"/>
  <c r="B21" i="7"/>
  <c r="L22" i="7"/>
  <c r="B22" i="7"/>
  <c r="L23" i="7"/>
  <c r="B23" i="7"/>
  <c r="L24" i="7"/>
  <c r="B24" i="7"/>
  <c r="L25" i="7"/>
  <c r="B25" i="7"/>
  <c r="L26" i="7"/>
  <c r="B26" i="7"/>
  <c r="L27" i="7"/>
  <c r="B27" i="7"/>
  <c r="L28" i="7"/>
  <c r="B28" i="7"/>
  <c r="L29" i="7"/>
  <c r="B29" i="7"/>
  <c r="L30" i="7"/>
  <c r="B30" i="7"/>
  <c r="L31" i="7"/>
  <c r="B31" i="7"/>
  <c r="L32" i="7"/>
  <c r="B32" i="7"/>
  <c r="L33" i="7"/>
  <c r="B33" i="7"/>
  <c r="L34" i="7"/>
  <c r="B34" i="7"/>
  <c r="L35" i="7"/>
  <c r="B35" i="7"/>
  <c r="L5" i="8"/>
  <c r="B5" i="8"/>
  <c r="L6" i="8"/>
  <c r="B6" i="8"/>
  <c r="L7" i="8"/>
  <c r="B7" i="8"/>
  <c r="L8" i="8"/>
  <c r="B8" i="8"/>
  <c r="L9" i="8"/>
  <c r="B9" i="8"/>
  <c r="L10" i="8"/>
  <c r="B10" i="8"/>
  <c r="L11" i="8"/>
  <c r="B11" i="8"/>
  <c r="L12" i="8"/>
  <c r="B12" i="8"/>
  <c r="L13" i="8"/>
  <c r="B13" i="8"/>
  <c r="L14" i="8"/>
  <c r="B14" i="8"/>
  <c r="L15" i="8"/>
  <c r="B15" i="8"/>
  <c r="L16" i="8"/>
  <c r="B16" i="8"/>
  <c r="L17" i="8"/>
  <c r="B17" i="8"/>
  <c r="L18" i="8"/>
  <c r="B18" i="8"/>
  <c r="L19" i="8"/>
  <c r="B19" i="8"/>
  <c r="L20" i="8"/>
  <c r="B20" i="8"/>
  <c r="L21" i="8"/>
  <c r="B21" i="8"/>
  <c r="L22" i="8"/>
  <c r="B22" i="8"/>
  <c r="L23" i="8"/>
  <c r="B23" i="8"/>
  <c r="L24" i="8"/>
  <c r="B24" i="8"/>
  <c r="L25" i="8"/>
  <c r="B25" i="8"/>
  <c r="L26" i="8"/>
  <c r="B26" i="8"/>
  <c r="L27" i="8"/>
  <c r="B27" i="8"/>
  <c r="L28" i="8"/>
  <c r="B28" i="8"/>
  <c r="L29" i="8"/>
  <c r="B29" i="8"/>
  <c r="L30" i="8"/>
  <c r="B30" i="8"/>
  <c r="L31" i="8"/>
  <c r="B31" i="8"/>
  <c r="L32" i="8"/>
  <c r="B32" i="8"/>
  <c r="L33" i="8"/>
  <c r="B33" i="8"/>
  <c r="L34" i="8"/>
  <c r="B34" i="8"/>
  <c r="L35" i="8"/>
  <c r="B35" i="8"/>
  <c r="L5" i="9"/>
  <c r="B5" i="9"/>
  <c r="L6" i="9"/>
  <c r="B6" i="9"/>
  <c r="L7" i="9"/>
  <c r="B7" i="9"/>
  <c r="L8" i="9"/>
  <c r="B8" i="9"/>
  <c r="L9" i="9"/>
  <c r="B9" i="9"/>
  <c r="L10" i="9"/>
  <c r="B10" i="9"/>
  <c r="L11" i="9"/>
  <c r="B11" i="9"/>
  <c r="L12" i="9"/>
  <c r="B12" i="9"/>
  <c r="L13" i="9"/>
  <c r="B13" i="9"/>
  <c r="L14" i="9"/>
  <c r="B14" i="9"/>
  <c r="L15" i="9"/>
  <c r="B15" i="9"/>
  <c r="L16" i="9"/>
  <c r="B16" i="9"/>
  <c r="L17" i="9"/>
  <c r="B17" i="9"/>
  <c r="L18" i="9"/>
  <c r="B18" i="9"/>
  <c r="L19" i="9"/>
  <c r="B19" i="9"/>
  <c r="L20" i="9"/>
  <c r="B20" i="9"/>
  <c r="L21" i="9"/>
  <c r="B21" i="9"/>
  <c r="L22" i="9"/>
  <c r="B22" i="9"/>
  <c r="L23" i="9"/>
  <c r="B23" i="9"/>
  <c r="L24" i="9"/>
  <c r="B24" i="9"/>
  <c r="L25" i="9"/>
  <c r="B25" i="9"/>
  <c r="L26" i="9"/>
  <c r="B26" i="9"/>
  <c r="L27" i="9"/>
  <c r="B27" i="9"/>
  <c r="L28" i="9"/>
  <c r="B28" i="9"/>
  <c r="L29" i="9"/>
  <c r="B29" i="9"/>
  <c r="L30" i="9"/>
  <c r="B30" i="9"/>
  <c r="L31" i="9"/>
  <c r="B31" i="9"/>
  <c r="L32" i="9"/>
  <c r="B32" i="9"/>
  <c r="L33" i="9"/>
  <c r="B33" i="9"/>
  <c r="L34" i="9"/>
  <c r="B34" i="9"/>
  <c r="L35" i="9"/>
  <c r="B35" i="9"/>
  <c r="L5" i="10"/>
  <c r="B5" i="10"/>
  <c r="L6" i="10"/>
  <c r="B6" i="10"/>
  <c r="L7" i="10"/>
  <c r="B7" i="10"/>
  <c r="L8" i="10"/>
  <c r="B8" i="10"/>
  <c r="L9" i="10"/>
  <c r="B9" i="10"/>
  <c r="L10" i="10"/>
  <c r="B10" i="10"/>
  <c r="L11" i="10"/>
  <c r="B11" i="10"/>
  <c r="L12" i="10"/>
  <c r="B12" i="10"/>
  <c r="L13" i="10"/>
  <c r="B13" i="10"/>
  <c r="L14" i="10"/>
  <c r="B14" i="10"/>
  <c r="L15" i="10"/>
  <c r="B15" i="10"/>
  <c r="L16" i="10"/>
  <c r="B16" i="10"/>
  <c r="L17" i="10"/>
  <c r="B17" i="10"/>
  <c r="L18" i="10"/>
  <c r="B18" i="10"/>
  <c r="L19" i="10"/>
  <c r="B19" i="10"/>
  <c r="L20" i="10"/>
  <c r="B20" i="10"/>
  <c r="L21" i="10"/>
  <c r="B21" i="10"/>
  <c r="L22" i="10"/>
  <c r="B22" i="10"/>
  <c r="L23" i="10"/>
  <c r="B23" i="10"/>
  <c r="L24" i="10"/>
  <c r="B24" i="10"/>
  <c r="L25" i="10"/>
  <c r="B25" i="10"/>
  <c r="L26" i="10"/>
  <c r="B26" i="10"/>
  <c r="L27" i="10"/>
  <c r="B27" i="10"/>
  <c r="L28" i="10"/>
  <c r="B28" i="10"/>
  <c r="L29" i="10"/>
  <c r="B29" i="10"/>
  <c r="L30" i="10"/>
  <c r="B30" i="10"/>
  <c r="L31" i="10"/>
  <c r="B31" i="10"/>
  <c r="L32" i="10"/>
  <c r="B32" i="10"/>
  <c r="L33" i="10"/>
  <c r="B33" i="10"/>
  <c r="L34" i="10"/>
  <c r="B34" i="10"/>
  <c r="L35" i="10"/>
  <c r="B35" i="10"/>
  <c r="L5" i="11"/>
  <c r="B5" i="11"/>
  <c r="L6" i="11"/>
  <c r="B6" i="11"/>
  <c r="L7" i="11"/>
  <c r="B7" i="11"/>
  <c r="L8" i="11"/>
  <c r="B8" i="11"/>
  <c r="L9" i="11"/>
  <c r="B9" i="11"/>
  <c r="L10" i="11"/>
  <c r="B10" i="11"/>
  <c r="L11" i="11"/>
  <c r="B11" i="11"/>
  <c r="L12" i="11"/>
  <c r="B12" i="11"/>
  <c r="L13" i="11"/>
  <c r="B13" i="11"/>
  <c r="L14" i="11"/>
  <c r="B14" i="11"/>
  <c r="L15" i="11"/>
  <c r="B15" i="11"/>
  <c r="L16" i="11"/>
  <c r="B16" i="11"/>
  <c r="L17" i="11"/>
  <c r="B17" i="11"/>
  <c r="L18" i="11"/>
  <c r="B18" i="11"/>
  <c r="L19" i="11"/>
  <c r="B19" i="11"/>
  <c r="L20" i="11"/>
  <c r="B20" i="11"/>
  <c r="L21" i="11"/>
  <c r="B21" i="11"/>
  <c r="L22" i="11"/>
  <c r="B22" i="11"/>
  <c r="L23" i="11"/>
  <c r="B23" i="11"/>
  <c r="L24" i="11"/>
  <c r="B24" i="11"/>
  <c r="L25" i="11"/>
  <c r="B25" i="11"/>
  <c r="L26" i="11"/>
  <c r="B26" i="11"/>
  <c r="L27" i="11"/>
  <c r="B27" i="11"/>
  <c r="L28" i="11"/>
  <c r="B28" i="11"/>
  <c r="L29" i="11"/>
  <c r="B29" i="11"/>
  <c r="L30" i="11"/>
  <c r="B30" i="11"/>
  <c r="L31" i="11"/>
  <c r="B31" i="11"/>
  <c r="L32" i="11"/>
  <c r="B32" i="11"/>
  <c r="L33" i="11"/>
  <c r="B33" i="11"/>
  <c r="L34" i="11"/>
  <c r="B34" i="11"/>
  <c r="L35" i="11"/>
  <c r="B35" i="11"/>
  <c r="L5" i="12"/>
  <c r="B5" i="12"/>
  <c r="L6" i="12"/>
  <c r="B6" i="12"/>
  <c r="L7" i="12"/>
  <c r="B7" i="12"/>
  <c r="L8" i="12"/>
  <c r="B8" i="12"/>
  <c r="L9" i="12"/>
  <c r="B9" i="12"/>
  <c r="L10" i="12"/>
  <c r="B10" i="12"/>
  <c r="L11" i="12"/>
  <c r="B11" i="12"/>
  <c r="L12" i="12"/>
  <c r="B12" i="12"/>
  <c r="L13" i="12"/>
  <c r="B13" i="12"/>
  <c r="L14" i="12"/>
  <c r="B14" i="12"/>
  <c r="L15" i="12"/>
  <c r="B15" i="12"/>
  <c r="L16" i="12"/>
  <c r="B16" i="12"/>
  <c r="L17" i="12"/>
  <c r="B17" i="12"/>
  <c r="L18" i="12"/>
  <c r="B18" i="12"/>
  <c r="L19" i="12"/>
  <c r="B19" i="12"/>
  <c r="L20" i="12"/>
  <c r="B20" i="12"/>
  <c r="L21" i="12"/>
  <c r="B21" i="12"/>
  <c r="L22" i="12"/>
  <c r="B22" i="12"/>
  <c r="L23" i="12"/>
  <c r="B23" i="12"/>
  <c r="L24" i="12"/>
  <c r="B24" i="12"/>
  <c r="L25" i="12"/>
  <c r="B25" i="12"/>
  <c r="L26" i="12"/>
  <c r="B26" i="12"/>
  <c r="L27" i="12"/>
  <c r="B27" i="12"/>
  <c r="L28" i="12"/>
  <c r="B28" i="12"/>
  <c r="L29" i="12"/>
  <c r="B29" i="12"/>
  <c r="L30" i="12"/>
  <c r="B30" i="12"/>
  <c r="L31" i="12"/>
  <c r="B31" i="12"/>
  <c r="L32" i="12"/>
  <c r="B32" i="12"/>
  <c r="L33" i="12"/>
  <c r="B33" i="12"/>
  <c r="L34" i="12"/>
  <c r="B34" i="12"/>
  <c r="L35" i="12"/>
  <c r="B35" i="12"/>
  <c r="L5" i="13"/>
  <c r="B5" i="13"/>
  <c r="L6" i="13"/>
  <c r="B6" i="13"/>
  <c r="L7" i="13"/>
  <c r="B7" i="13"/>
  <c r="L8" i="13"/>
  <c r="B8" i="13"/>
  <c r="L9" i="13"/>
  <c r="B9" i="13"/>
  <c r="L10" i="13"/>
  <c r="B10" i="13"/>
  <c r="L11" i="13"/>
  <c r="B11" i="13"/>
  <c r="L12" i="13"/>
  <c r="B12" i="13"/>
  <c r="L13" i="13"/>
  <c r="B13" i="13"/>
  <c r="L14" i="13"/>
  <c r="B14" i="13"/>
  <c r="L15" i="13"/>
  <c r="B15" i="13"/>
  <c r="L16" i="13"/>
  <c r="B16" i="13"/>
  <c r="L17" i="13"/>
  <c r="B17" i="13"/>
  <c r="L18" i="13"/>
  <c r="B18" i="13"/>
  <c r="L19" i="13"/>
  <c r="B19" i="13"/>
  <c r="L20" i="13"/>
  <c r="B20" i="13"/>
  <c r="L21" i="13"/>
  <c r="B21" i="13"/>
  <c r="L22" i="13"/>
  <c r="B22" i="13"/>
  <c r="L23" i="13"/>
  <c r="B23" i="13"/>
  <c r="L24" i="13"/>
  <c r="B24" i="13"/>
  <c r="L25" i="13"/>
  <c r="B25" i="13"/>
  <c r="L26" i="13"/>
  <c r="B26" i="13"/>
  <c r="L27" i="13"/>
  <c r="B27" i="13"/>
  <c r="L28" i="13"/>
  <c r="B28" i="13"/>
  <c r="L29" i="13"/>
  <c r="B29" i="13"/>
  <c r="L30" i="13"/>
  <c r="B30" i="13"/>
  <c r="L31" i="13"/>
  <c r="B31" i="13"/>
  <c r="L32" i="13"/>
  <c r="B32" i="13"/>
  <c r="L33" i="13"/>
  <c r="B33" i="13"/>
  <c r="L34" i="13"/>
  <c r="B34" i="13"/>
  <c r="L35" i="13"/>
  <c r="B35" i="13"/>
  <c r="L5" i="14"/>
  <c r="B5" i="14"/>
  <c r="L6" i="14"/>
  <c r="B6" i="14"/>
  <c r="L7" i="14"/>
  <c r="B7" i="14"/>
  <c r="L8" i="14"/>
  <c r="B8" i="14"/>
  <c r="L9" i="14"/>
  <c r="B9" i="14"/>
  <c r="L10" i="14"/>
  <c r="B10" i="14"/>
  <c r="L11" i="14"/>
  <c r="B11" i="14"/>
  <c r="L12" i="14"/>
  <c r="B12" i="14"/>
  <c r="L13" i="14"/>
  <c r="B13" i="14"/>
  <c r="L14" i="14"/>
  <c r="B14" i="14"/>
  <c r="L15" i="14"/>
  <c r="B15" i="14"/>
  <c r="L16" i="14"/>
  <c r="B16" i="14"/>
  <c r="L17" i="14"/>
  <c r="B17" i="14"/>
  <c r="L18" i="14"/>
  <c r="B18" i="14"/>
  <c r="L19" i="14"/>
  <c r="B19" i="14"/>
  <c r="L20" i="14"/>
  <c r="B20" i="14"/>
  <c r="L21" i="14"/>
  <c r="B21" i="14"/>
  <c r="L22" i="14"/>
  <c r="B22" i="14"/>
  <c r="L23" i="14"/>
  <c r="B23" i="14"/>
  <c r="L24" i="14"/>
  <c r="B24" i="14"/>
  <c r="L25" i="14"/>
  <c r="B25" i="14"/>
  <c r="L26" i="14"/>
  <c r="B26" i="14"/>
  <c r="L27" i="14"/>
  <c r="B27" i="14"/>
  <c r="L28" i="14"/>
  <c r="B28" i="14"/>
  <c r="L29" i="14"/>
  <c r="B29" i="14"/>
  <c r="L30" i="14"/>
  <c r="B30" i="14"/>
  <c r="L31" i="14"/>
  <c r="B31" i="14"/>
  <c r="L32" i="14"/>
  <c r="B32" i="14"/>
  <c r="L33" i="14"/>
  <c r="B33" i="14"/>
  <c r="L34" i="14"/>
  <c r="B34" i="14"/>
  <c r="L35" i="14"/>
  <c r="B35" i="14"/>
</calcChain>
</file>

<file path=xl/sharedStrings.xml><?xml version="1.0" encoding="utf-8"?>
<sst xmlns="http://schemas.openxmlformats.org/spreadsheetml/2006/main" count="436" uniqueCount="86">
  <si>
    <t>📊 Haushaltsbuch – Einstellungen</t>
  </si>
  <si>
    <t>Jahr:</t>
  </si>
  <si>
    <t>← Hier das Jahr ändern  (z.B. 2027) – alle Blätter passen sich automatisch an</t>
  </si>
  <si>
    <t>Kategorien &amp; Unterkategorien</t>
  </si>
  <si>
    <t>Kategorie</t>
  </si>
  <si>
    <t>Unterkategorien</t>
  </si>
  <si>
    <t>Wohnen</t>
  </si>
  <si>
    <t>Miete  |  Strom/Gas  |  Internet  |  Nebenkosten  |  Sonstiges</t>
  </si>
  <si>
    <t>Lebensmittel</t>
  </si>
  <si>
    <t>Supermarkt  |  Drogerie  |  Sonstiges</t>
  </si>
  <si>
    <t>Transport</t>
  </si>
  <si>
    <t>Tanken  |  ÖPNV  |  Wartung/Reparatur  |  Sonstiges</t>
  </si>
  <si>
    <t>Freizeit</t>
  </si>
  <si>
    <t>Kino/Events  |  Hobbys  |  Urlaub  |  Sonstiges</t>
  </si>
  <si>
    <t>Gesundheit</t>
  </si>
  <si>
    <t>Arzt/Apotheke  |  Fitness/Sport  |  Medikamente  |  Sonstiges</t>
  </si>
  <si>
    <t>Kleidung</t>
  </si>
  <si>
    <t>Kleidung  |  Schuhe  |  Accessoires  |  Sonstiges</t>
  </si>
  <si>
    <t>Restaurant</t>
  </si>
  <si>
    <t>Restaurant  |  Café  |  Lieferservice  |  Sonstiges</t>
  </si>
  <si>
    <t>Versicherungen</t>
  </si>
  <si>
    <t>Krankenversicherung  |  KFZ-Versicherung  |  Streaming/Abos  |  Sonstiges</t>
  </si>
  <si>
    <t>Sparen</t>
  </si>
  <si>
    <t>Tagesgeld/Sparen  |  Aktien/ETF  |  Altersvorsorge  |  Sonstiges</t>
  </si>
  <si>
    <t>Hinweise zur Bedienung</t>
  </si>
  <si>
    <t>1.  Trage oben das gewünschte Jahr ein – Datum &amp; Kalender in allen Monatsblättern passen sich automatisch an.</t>
  </si>
  <si>
    <t>2.  SCHNELLEINGABE: Trage den Tagesbetrag direkt in die passende Kategorie-Spalte ein (Zeilen 5–35).</t>
  </si>
  <si>
    <t>3.  DETAIL-LOG: Für einzelne Buchungen mit Beschreibung &amp; Unterkategorie (ab Zeile 42).</t>
  </si>
  <si>
    <t>4.  Tipp: Nutze die Schnelleingabe für schnelle Tageseinträge und den Detail-Log für detaillierte Auswertungen.</t>
  </si>
  <si>
    <t>5.  Die Jahresübersicht berechnet sich automatisch aus den Monatssummen (Schnelleingabe).</t>
  </si>
  <si>
    <t>6.  Die Detail-Log-Auswertung im zweiten Teil der Jahresübersicht zeigt Ausgaben nach Unterkategorien.</t>
  </si>
  <si>
    <t>SCHNELLEINGABE – Monatliche Kategorie-Summen</t>
  </si>
  <si>
    <t>Unterkategorie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</si>
  <si>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</si>
  <si>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</si>
  <si>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</si>
  <si>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</si>
  <si>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</si>
  <si>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</si>
  <si>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</si>
  <si>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</si>
  <si>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</si>
  <si>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</si>
  <si>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</si>
  <si>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</si>
  <si>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GESAMT</t>
  </si>
  <si>
    <t>Gesamt Schnelleingabe</t>
  </si>
  <si>
    <t>GESAMTAUSGABEN</t>
  </si>
  <si>
    <t>DETAIL-LOG – Aufschlüsselung nach Unterkategorie</t>
  </si>
  <si>
    <t>Miete</t>
  </si>
  <si>
    <t>Strom/Gas</t>
  </si>
  <si>
    <t>Internet</t>
  </si>
  <si>
    <t>Nebenkosten</t>
  </si>
  <si>
    <t>Sonstiges</t>
  </si>
  <si>
    <t>→ Gesamt</t>
  </si>
  <si>
    <t>Supermarkt</t>
  </si>
  <si>
    <t>Drogerie</t>
  </si>
  <si>
    <t>Tanken</t>
  </si>
  <si>
    <t>ÖPNV</t>
  </si>
  <si>
    <t>Wartung/Reparatur</t>
  </si>
  <si>
    <t>Kino/Events</t>
  </si>
  <si>
    <t>Hobbys</t>
  </si>
  <si>
    <t>Urlaub</t>
  </si>
  <si>
    <t>Arzt/Apotheke</t>
  </si>
  <si>
    <t>Fitness/Sport</t>
  </si>
  <si>
    <t>Medikamente</t>
  </si>
  <si>
    <t>Schuhe</t>
  </si>
  <si>
    <t>Accessoires</t>
  </si>
  <si>
    <t>Café</t>
  </si>
  <si>
    <t>Lieferservice</t>
  </si>
  <si>
    <t>Krankenversicherung</t>
  </si>
  <si>
    <t>KFZ-Versicherung</t>
  </si>
  <si>
    <t>Streaming/Abos</t>
  </si>
  <si>
    <t>Tagesgeld/Sparen</t>
  </si>
  <si>
    <t>Aktien/ETF</t>
  </si>
  <si>
    <t>Altersvorsorge</t>
  </si>
  <si>
    <t>▶  SCHNELLEINGABE – Tagesausgaben nach Kategorie</t>
  </si>
  <si>
    <t>Datum</t>
  </si>
  <si>
    <t>Tag</t>
  </si>
  <si>
    <t>Gesamt</t>
  </si>
  <si>
    <t>Notiz</t>
  </si>
  <si>
    <t>MONATSSUMME</t>
  </si>
  <si>
    <t>▶  DETAIL-LOG – Einzelbuchungen mit Kategorie &amp; Beschreibung</t>
  </si>
  <si>
    <t>Beschreibung</t>
  </si>
  <si>
    <t>Betrag</t>
  </si>
  <si>
    <t>GESAMT DETAIL-LOG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</si>
</sst>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;\(#,##0.00&quot; €)&quot;;\-"/>
    <numFmt numFmtId="165" formatCode="dd\.mm\.yyyy"/>
  </numFmts>
  <fonts count="12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2"/>
      <color rgb="FF000000"/>
      <name val="Arial"/>
      <charset val="1"/>
    </font>
    <font>
      <b/>
      <sz val="14"/>
      <color rgb="FF000000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i/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2F5496"/>
      </patternFill>
    </fill>
    <fill>
      <patternFill patternType="solid">
        <fgColor rgb="FFD9E1F2"/>
        <bgColor rgb="FFC5D9F1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5D9F1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zoomScaleNormal="100" workbookViewId="0">
      <selection activeCell="B4" sqref="B4"/>
    </sheetView>
  </sheetViews>
  <sheetFormatPr defaultColWidth="8.7109375" defaultRowHeight="15"/>
  <cols>
    <col min="1" max="1" width="22" customWidth="1"/>
    <col min="2" max="2" width="14" customWidth="1"/>
    <col min="3" max="3" width="50" customWidth="1"/>
  </cols>
  <sheetData>
    <row r="1" spans="1:3" ht="33.75" customHeight="1">
      <c r="A1" s="7" t="s">
        <v>0</v>
      </c>
      <c r="B1" s="7"/>
      <c r="C1" s="7"/>
    </row>
    <row r="3" spans="1:3" ht="25.5" customHeight="1">
      <c r="A3" s="8" t="s">
        <v>1</v>
      </c>
      <c r="B3" s="9">
        <v>2026</v>
      </c>
      <c r="C3" s="10" t="s">
        <v>2</v>
      </c>
    </row>
    <row r="5" spans="1:3" ht="21.75" customHeight="1">
      <c r="A5" s="6" t="s">
        <v>3</v>
      </c>
      <c r="B5" s="6"/>
      <c r="C5" s="6"/>
    </row>
    <row r="6" spans="1:3" ht="18" customHeight="1">
      <c r="A6" s="11" t="s">
        <v>4</v>
      </c>
      <c r="B6" s="5" t="s">
        <v>5</v>
      </c>
      <c r="C6" s="5"/>
    </row>
    <row r="7" spans="1:3" ht="16.5" customHeight="1">
      <c r="A7" s="12" t="s">
        <v>6</v>
      </c>
      <c r="B7" s="4" t="s">
        <v>7</v>
      </c>
      <c r="C7" s="4"/>
    </row>
    <row r="8" spans="1:3" ht="16.5" customHeight="1">
      <c r="A8" s="12" t="s">
        <v>8</v>
      </c>
      <c r="B8" s="4" t="s">
        <v>9</v>
      </c>
      <c r="C8" s="4"/>
    </row>
    <row r="9" spans="1:3" ht="16.5" customHeight="1">
      <c r="A9" s="12" t="s">
        <v>10</v>
      </c>
      <c r="B9" s="4" t="s">
        <v>11</v>
      </c>
      <c r="C9" s="4"/>
    </row>
    <row r="10" spans="1:3" ht="16.5" customHeight="1">
      <c r="A10" s="12" t="s">
        <v>12</v>
      </c>
      <c r="B10" s="4" t="s">
        <v>13</v>
      </c>
      <c r="C10" s="4"/>
    </row>
    <row r="11" spans="1:3" ht="16.5" customHeight="1">
      <c r="A11" s="12" t="s">
        <v>14</v>
      </c>
      <c r="B11" s="4" t="s">
        <v>15</v>
      </c>
      <c r="C11" s="4"/>
    </row>
    <row r="12" spans="1:3" ht="16.5" customHeight="1">
      <c r="A12" s="12" t="s">
        <v>16</v>
      </c>
      <c r="B12" s="4" t="s">
        <v>17</v>
      </c>
      <c r="C12" s="4"/>
    </row>
    <row r="13" spans="1:3" ht="16.5" customHeight="1">
      <c r="A13" s="12" t="s">
        <v>18</v>
      </c>
      <c r="B13" s="4" t="s">
        <v>19</v>
      </c>
      <c r="C13" s="4"/>
    </row>
    <row r="14" spans="1:3" ht="16.5" customHeight="1">
      <c r="A14" s="12" t="s">
        <v>20</v>
      </c>
      <c r="B14" s="4" t="s">
        <v>21</v>
      </c>
      <c r="C14" s="4"/>
    </row>
    <row r="15" spans="1:3" ht="16.5" customHeight="1">
      <c r="A15" s="12" t="s">
        <v>22</v>
      </c>
      <c r="B15" s="4" t="s">
        <v>23</v>
      </c>
      <c r="C15" s="4"/>
    </row>
    <row r="18" spans="1:3" ht="21.75" customHeight="1">
      <c r="A18" s="6" t="s">
        <v>24</v>
      </c>
      <c r="B18" s="6"/>
      <c r="C18" s="6"/>
    </row>
    <row r="19" spans="1:3" ht="27" customHeight="1">
      <c r="A19" s="3" t="s">
        <v>25</v>
      </c>
      <c r="B19" s="3"/>
      <c r="C19" s="3"/>
    </row>
    <row r="20" spans="1:3" ht="18" customHeight="1">
      <c r="A20" s="3" t="s">
        <v>26</v>
      </c>
      <c r="B20" s="3"/>
      <c r="C20" s="3"/>
    </row>
    <row r="21" spans="1:3" ht="18" customHeight="1">
      <c r="A21" s="3" t="s">
        <v>27</v>
      </c>
      <c r="B21" s="3"/>
      <c r="C21" s="3"/>
    </row>
    <row r="22" spans="1:3" ht="27.75" customHeight="1">
      <c r="A22" s="3" t="s">
        <v>28</v>
      </c>
      <c r="B22" s="3"/>
      <c r="C22" s="3"/>
    </row>
    <row r="23" spans="1:3" ht="18" customHeight="1">
      <c r="A23" s="3" t="s">
        <v>29</v>
      </c>
      <c r="B23" s="3"/>
      <c r="C23" s="3"/>
    </row>
    <row r="24" spans="1:3" ht="18" customHeight="1">
      <c r="A24" s="3" t="s">
        <v>30</v>
      </c>
      <c r="B24" s="3"/>
      <c r="C24" s="3"/>
    </row>
  </sheetData>
  <mergeCells count="19">
    <mergeCell ref="A21:C21"/>
    <mergeCell ref="A22:C22"/>
    <mergeCell ref="A23:C23"/>
    <mergeCell ref="A24:C24"/>
    <mergeCell ref="B14:C14"/>
    <mergeCell ref="B15:C15"/>
    <mergeCell ref="A18:C18"/>
    <mergeCell ref="A19:C19"/>
    <mergeCell ref="A20:C20"/>
    <mergeCell ref="B9:C9"/>
    <mergeCell ref="B10:C10"/>
    <mergeCell ref="B11:C11"/>
    <mergeCell ref="B12:C12"/>
    <mergeCell ref="B13:C13"/>
    <mergeCell ref="A1:C1"/>
    <mergeCell ref="A5:C5"/>
    <mergeCell ref="B6:C6"/>
    <mergeCell ref="B7:C7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9"/>
  <sheetViews>
    <sheetView zoomScaleNormal="100" workbookViewId="0">
      <pane xSplit="2" ySplit="3" topLeftCell="C4" activePane="bottomRight" state="frozen"/>
      <selection pane="bottomRight" activeCell="O49" sqref="O49"/>
      <selection pane="bottomLeft" activeCell="A4" sqref="A4"/>
      <selection pane="topRight" activeCell="C1" sqref="C1"/>
    </sheetView>
  </sheetViews>
  <sheetFormatPr defaultColWidth="8.7109375" defaultRowHeight="15"/>
  <cols>
    <col min="1" max="1" width="20" customWidth="1"/>
    <col min="2" max="2" width="22" customWidth="1"/>
    <col min="3" max="14" width="11" customWidth="1"/>
    <col min="15" max="15" width="14" customWidth="1"/>
  </cols>
  <sheetData>
    <row r="1" spans="1:15" ht="33.75" customHeight="1">
      <c r="A1" s="2" t="str">
        <f>TEXT(Einstellungen!$B$3,"0") &amp; " – Jahresübersicht aller Ausgaben"</f>
        <v>2026 – Jahresübersicht aller Ausgaben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.75" customHeight="1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9.5" customHeight="1">
      <c r="A3" s="11" t="s">
        <v>4</v>
      </c>
      <c r="B3" s="11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  <c r="H3" s="11" t="s">
        <v>38</v>
      </c>
      <c r="I3" s="11" t="s">
        <v>39</v>
      </c>
      <c r="J3" s="11" t="s">
        <v>40</v>
      </c>
      <c r="K3" s="11" t="s">
        <v>41</v>
      </c>
      <c r="L3" s="11" t="s">
        <v>42</v>
      </c>
      <c r="M3" s="11" t="s">
        <v>43</v>
      </c>
      <c r="N3" s="11" t="s">
        <v>44</v>
      </c>
      <c r="O3" s="13" t="s">
        <v>45</v>
      </c>
    </row>
    <row r="4" spans="1:15">
      <c r="A4" s="12" t="s">
        <v>6</v>
      </c>
      <c r="B4" s="14" t="s">
        <v>46</v>
      </c>
      <c r="C4" s="15">
        <f>Januar!C37</f>
        <v>0</v>
      </c>
      <c r="D4" s="15">
        <f>Februar!C37</f>
        <v>0</v>
      </c>
      <c r="E4" s="15">
        <f>März!C37</f>
        <v>0</v>
      </c>
      <c r="F4" s="15">
        <f>April!C37</f>
        <v>0</v>
      </c>
      <c r="G4" s="15">
        <f>Mai!C37</f>
        <v>0</v>
      </c>
      <c r="H4" s="15">
        <f>Juni!C37</f>
        <v>0</v>
      </c>
      <c r="I4" s="15">
        <f>Juli!C37</f>
        <v>0</v>
      </c>
      <c r="J4" s="15">
        <f>August!C37</f>
        <v>0</v>
      </c>
      <c r="K4" s="15">
        <f>September!C37</f>
        <v>0</v>
      </c>
      <c r="L4" s="15">
        <f>Oktober!C37</f>
        <v>0</v>
      </c>
      <c r="M4" s="15">
        <f>November!C37</f>
        <v>0</v>
      </c>
      <c r="N4" s="15">
        <f>Dezember!C37</f>
        <v>0</v>
      </c>
      <c r="O4" s="16">
        <f>SUM(C4:N4)</f>
        <v>0</v>
      </c>
    </row>
    <row r="5" spans="1:15">
      <c r="A5" s="12" t="s">
        <v>8</v>
      </c>
      <c r="B5" s="14" t="s">
        <v>46</v>
      </c>
      <c r="C5" s="15">
        <f>Januar!D37</f>
        <v>0</v>
      </c>
      <c r="D5" s="15">
        <f>Februar!D37</f>
        <v>0</v>
      </c>
      <c r="E5" s="15">
        <f>März!D37</f>
        <v>0</v>
      </c>
      <c r="F5" s="15">
        <f>April!D37</f>
        <v>0</v>
      </c>
      <c r="G5" s="15">
        <f>Mai!D37</f>
        <v>0</v>
      </c>
      <c r="H5" s="15">
        <f>Juni!D37</f>
        <v>0</v>
      </c>
      <c r="I5" s="15">
        <f>Juli!D37</f>
        <v>0</v>
      </c>
      <c r="J5" s="15">
        <f>August!D37</f>
        <v>0</v>
      </c>
      <c r="K5" s="15">
        <f>September!D37</f>
        <v>0</v>
      </c>
      <c r="L5" s="15">
        <f>Oktober!D37</f>
        <v>0</v>
      </c>
      <c r="M5" s="15">
        <f>November!D37</f>
        <v>0</v>
      </c>
      <c r="N5" s="15">
        <f>Dezember!D37</f>
        <v>0</v>
      </c>
      <c r="O5" s="16">
        <f>SUM(C5:N5)</f>
        <v>0</v>
      </c>
    </row>
    <row r="6" spans="1:15">
      <c r="A6" s="12" t="s">
        <v>10</v>
      </c>
      <c r="B6" s="14" t="s">
        <v>46</v>
      </c>
      <c r="C6" s="15">
        <f>Januar!E37</f>
        <v>0</v>
      </c>
      <c r="D6" s="15">
        <f>Februar!E37</f>
        <v>0</v>
      </c>
      <c r="E6" s="15">
        <f>März!E37</f>
        <v>0</v>
      </c>
      <c r="F6" s="15">
        <f>April!E37</f>
        <v>0</v>
      </c>
      <c r="G6" s="15">
        <f>Mai!E37</f>
        <v>0</v>
      </c>
      <c r="H6" s="15">
        <f>Juni!E37</f>
        <v>0</v>
      </c>
      <c r="I6" s="15">
        <f>Juli!E37</f>
        <v>0</v>
      </c>
      <c r="J6" s="15">
        <f>August!E37</f>
        <v>0</v>
      </c>
      <c r="K6" s="15">
        <f>September!E37</f>
        <v>0</v>
      </c>
      <c r="L6" s="15">
        <f>Oktober!E37</f>
        <v>0</v>
      </c>
      <c r="M6" s="15">
        <f>November!E37</f>
        <v>0</v>
      </c>
      <c r="N6" s="15">
        <f>Dezember!E37</f>
        <v>0</v>
      </c>
      <c r="O6" s="16">
        <f>SUM(C6:N6)</f>
        <v>0</v>
      </c>
    </row>
    <row r="7" spans="1:15">
      <c r="A7" s="12" t="s">
        <v>12</v>
      </c>
      <c r="B7" s="14" t="s">
        <v>46</v>
      </c>
      <c r="C7" s="15">
        <f>Januar!F37</f>
        <v>0</v>
      </c>
      <c r="D7" s="15">
        <f>Februar!F37</f>
        <v>0</v>
      </c>
      <c r="E7" s="15">
        <f>März!F37</f>
        <v>0</v>
      </c>
      <c r="F7" s="15">
        <f>April!F37</f>
        <v>0</v>
      </c>
      <c r="G7" s="15">
        <f>Mai!F37</f>
        <v>0</v>
      </c>
      <c r="H7" s="15">
        <f>Juni!F37</f>
        <v>0</v>
      </c>
      <c r="I7" s="15">
        <f>Juli!F37</f>
        <v>0</v>
      </c>
      <c r="J7" s="15">
        <f>August!F37</f>
        <v>0</v>
      </c>
      <c r="K7" s="15">
        <f>September!F37</f>
        <v>0</v>
      </c>
      <c r="L7" s="15">
        <f>Oktober!F37</f>
        <v>0</v>
      </c>
      <c r="M7" s="15">
        <f>November!F37</f>
        <v>0</v>
      </c>
      <c r="N7" s="15">
        <f>Dezember!F37</f>
        <v>0</v>
      </c>
      <c r="O7" s="16">
        <f>SUM(C7:N7)</f>
        <v>0</v>
      </c>
    </row>
    <row r="8" spans="1:15">
      <c r="A8" s="12" t="s">
        <v>14</v>
      </c>
      <c r="B8" s="14" t="s">
        <v>46</v>
      </c>
      <c r="C8" s="15">
        <f>Januar!G37</f>
        <v>0</v>
      </c>
      <c r="D8" s="15">
        <f>Februar!G37</f>
        <v>0</v>
      </c>
      <c r="E8" s="15">
        <f>März!G37</f>
        <v>0</v>
      </c>
      <c r="F8" s="15">
        <f>April!G37</f>
        <v>0</v>
      </c>
      <c r="G8" s="15">
        <f>Mai!G37</f>
        <v>0</v>
      </c>
      <c r="H8" s="15">
        <f>Juni!G37</f>
        <v>0</v>
      </c>
      <c r="I8" s="15">
        <f>Juli!G37</f>
        <v>0</v>
      </c>
      <c r="J8" s="15">
        <f>August!G37</f>
        <v>0</v>
      </c>
      <c r="K8" s="15">
        <f>September!G37</f>
        <v>0</v>
      </c>
      <c r="L8" s="15">
        <f>Oktober!G37</f>
        <v>0</v>
      </c>
      <c r="M8" s="15">
        <f>November!G37</f>
        <v>0</v>
      </c>
      <c r="N8" s="15">
        <f>Dezember!G37</f>
        <v>0</v>
      </c>
      <c r="O8" s="16">
        <f>SUM(C8:N8)</f>
        <v>0</v>
      </c>
    </row>
    <row r="9" spans="1:15">
      <c r="A9" s="12" t="s">
        <v>16</v>
      </c>
      <c r="B9" s="14" t="s">
        <v>46</v>
      </c>
      <c r="C9" s="15">
        <f>Januar!H37</f>
        <v>0</v>
      </c>
      <c r="D9" s="15">
        <f>Februar!H37</f>
        <v>0</v>
      </c>
      <c r="E9" s="15">
        <f>März!H37</f>
        <v>0</v>
      </c>
      <c r="F9" s="15">
        <f>April!H37</f>
        <v>0</v>
      </c>
      <c r="G9" s="15">
        <f>Mai!H37</f>
        <v>0</v>
      </c>
      <c r="H9" s="15">
        <f>Juni!H37</f>
        <v>0</v>
      </c>
      <c r="I9" s="15">
        <f>Juli!H37</f>
        <v>0</v>
      </c>
      <c r="J9" s="15">
        <f>August!H37</f>
        <v>0</v>
      </c>
      <c r="K9" s="15">
        <f>September!H37</f>
        <v>0</v>
      </c>
      <c r="L9" s="15">
        <f>Oktober!H37</f>
        <v>0</v>
      </c>
      <c r="M9" s="15">
        <f>November!H37</f>
        <v>0</v>
      </c>
      <c r="N9" s="15">
        <f>Dezember!H37</f>
        <v>0</v>
      </c>
      <c r="O9" s="16">
        <f>SUM(C9:N9)</f>
        <v>0</v>
      </c>
    </row>
    <row r="10" spans="1:15">
      <c r="A10" s="12" t="s">
        <v>18</v>
      </c>
      <c r="B10" s="14" t="s">
        <v>46</v>
      </c>
      <c r="C10" s="15">
        <f>Januar!I37</f>
        <v>0</v>
      </c>
      <c r="D10" s="15">
        <f>Februar!I37</f>
        <v>0</v>
      </c>
      <c r="E10" s="15">
        <f>März!I37</f>
        <v>0</v>
      </c>
      <c r="F10" s="15">
        <f>April!I37</f>
        <v>0</v>
      </c>
      <c r="G10" s="15">
        <f>Mai!I37</f>
        <v>0</v>
      </c>
      <c r="H10" s="15">
        <f>Juni!I37</f>
        <v>0</v>
      </c>
      <c r="I10" s="15">
        <f>Juli!I37</f>
        <v>0</v>
      </c>
      <c r="J10" s="15">
        <f>August!I37</f>
        <v>0</v>
      </c>
      <c r="K10" s="15">
        <f>September!I37</f>
        <v>0</v>
      </c>
      <c r="L10" s="15">
        <f>Oktober!I37</f>
        <v>0</v>
      </c>
      <c r="M10" s="15">
        <f>November!I37</f>
        <v>0</v>
      </c>
      <c r="N10" s="15">
        <f>Dezember!I37</f>
        <v>0</v>
      </c>
      <c r="O10" s="16">
        <f>SUM(C10:N10)</f>
        <v>0</v>
      </c>
    </row>
    <row r="11" spans="1:15">
      <c r="A11" s="12" t="s">
        <v>20</v>
      </c>
      <c r="B11" s="14" t="s">
        <v>46</v>
      </c>
      <c r="C11" s="15">
        <f>Januar!J37</f>
        <v>0</v>
      </c>
      <c r="D11" s="15">
        <f>Februar!J37</f>
        <v>0</v>
      </c>
      <c r="E11" s="15">
        <f>März!J37</f>
        <v>0</v>
      </c>
      <c r="F11" s="15">
        <f>April!J37</f>
        <v>0</v>
      </c>
      <c r="G11" s="15">
        <f>Mai!J37</f>
        <v>0</v>
      </c>
      <c r="H11" s="15">
        <f>Juni!J37</f>
        <v>0</v>
      </c>
      <c r="I11" s="15">
        <f>Juli!J37</f>
        <v>0</v>
      </c>
      <c r="J11" s="15">
        <f>August!J37</f>
        <v>0</v>
      </c>
      <c r="K11" s="15">
        <f>September!J37</f>
        <v>0</v>
      </c>
      <c r="L11" s="15">
        <f>Oktober!J37</f>
        <v>0</v>
      </c>
      <c r="M11" s="15">
        <f>November!J37</f>
        <v>0</v>
      </c>
      <c r="N11" s="15">
        <f>Dezember!J37</f>
        <v>0</v>
      </c>
      <c r="O11" s="16">
        <f>SUM(C11:N11)</f>
        <v>0</v>
      </c>
    </row>
    <row r="12" spans="1:15">
      <c r="A12" s="12" t="s">
        <v>22</v>
      </c>
      <c r="B12" s="14" t="s">
        <v>46</v>
      </c>
      <c r="C12" s="15">
        <f>Januar!K37</f>
        <v>0</v>
      </c>
      <c r="D12" s="15">
        <f>Februar!K37</f>
        <v>0</v>
      </c>
      <c r="E12" s="15">
        <f>März!K37</f>
        <v>0</v>
      </c>
      <c r="F12" s="15">
        <f>April!K37</f>
        <v>0</v>
      </c>
      <c r="G12" s="15">
        <f>Mai!K37</f>
        <v>0</v>
      </c>
      <c r="H12" s="15">
        <f>Juni!K37</f>
        <v>0</v>
      </c>
      <c r="I12" s="15">
        <f>Juli!K37</f>
        <v>0</v>
      </c>
      <c r="J12" s="15">
        <f>August!K37</f>
        <v>0</v>
      </c>
      <c r="K12" s="15">
        <f>September!K37</f>
        <v>0</v>
      </c>
      <c r="L12" s="15">
        <f>Oktober!K37</f>
        <v>0</v>
      </c>
      <c r="M12" s="15">
        <f>November!K37</f>
        <v>0</v>
      </c>
      <c r="N12" s="15">
        <f>Dezember!K37</f>
        <v>0</v>
      </c>
      <c r="O12" s="16">
        <f>SUM(C12:N12)</f>
        <v>0</v>
      </c>
    </row>
    <row r="13" spans="1:15" ht="21.75" customHeight="1">
      <c r="A13" s="1" t="s">
        <v>47</v>
      </c>
      <c r="B13" s="1"/>
      <c r="C13" s="17">
        <f>SUM(C4:C12)</f>
        <v>0</v>
      </c>
      <c r="D13" s="17">
        <f>SUM(D4:D12)</f>
        <v>0</v>
      </c>
      <c r="E13" s="17">
        <f>SUM(E4:E12)</f>
        <v>0</v>
      </c>
      <c r="F13" s="17">
        <f>SUM(F4:F12)</f>
        <v>0</v>
      </c>
      <c r="G13" s="17">
        <f>SUM(G4:G12)</f>
        <v>0</v>
      </c>
      <c r="H13" s="17">
        <f>SUM(H4:H12)</f>
        <v>0</v>
      </c>
      <c r="I13" s="17">
        <f>SUM(I4:I12)</f>
        <v>0</v>
      </c>
      <c r="J13" s="17">
        <f>SUM(J4:J12)</f>
        <v>0</v>
      </c>
      <c r="K13" s="17">
        <f>SUM(K4:K12)</f>
        <v>0</v>
      </c>
      <c r="L13" s="17">
        <f>SUM(L4:L12)</f>
        <v>0</v>
      </c>
      <c r="M13" s="17">
        <f>SUM(M4:M12)</f>
        <v>0</v>
      </c>
      <c r="N13" s="17">
        <f>SUM(N4:N12)</f>
        <v>0</v>
      </c>
      <c r="O13" s="17">
        <f>SUM(O4:O12)</f>
        <v>0</v>
      </c>
    </row>
    <row r="15" spans="1:15" ht="21.75" customHeight="1">
      <c r="A15" s="6" t="s">
        <v>48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9.5" customHeight="1">
      <c r="A16" s="11" t="s">
        <v>4</v>
      </c>
      <c r="B16" s="11" t="s">
        <v>32</v>
      </c>
      <c r="C16" s="11" t="s">
        <v>33</v>
      </c>
      <c r="D16" s="11" t="s">
        <v>34</v>
      </c>
      <c r="E16" s="11" t="s">
        <v>35</v>
      </c>
      <c r="F16" s="11" t="s">
        <v>36</v>
      </c>
      <c r="G16" s="11" t="s">
        <v>37</v>
      </c>
      <c r="H16" s="11" t="s">
        <v>38</v>
      </c>
      <c r="I16" s="11" t="s">
        <v>39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3" t="s">
        <v>45</v>
      </c>
    </row>
    <row r="17" spans="1:15">
      <c r="A17" s="18" t="s">
        <v>6</v>
      </c>
      <c r="B17" s="18" t="s">
        <v>49</v>
      </c>
      <c r="C17" s="15">
        <f>SUMPRODUCT((Januar!$B$42:$B$91="Wohnen")*(Januar!$C$42:$C$91="Miete")*(Januar!$E$42:$E$91))</f>
        <v>0</v>
      </c>
      <c r="D17" s="15">
        <f>SUMPRODUCT((Februar!$B$42:$B$91="Wohnen")*(Februar!$C$42:$C$91="Miete")*(Februar!$E$42:$E$91))</f>
        <v>0</v>
      </c>
      <c r="E17" s="15">
        <f>SUMPRODUCT((März!$B$42:$B$91="Wohnen")*(März!$C$42:$C$91="Miete")*(März!$E$42:$E$91))</f>
        <v>0</v>
      </c>
      <c r="F17" s="15">
        <f>SUMPRODUCT((April!$B$42:$B$91="Wohnen")*(April!$C$42:$C$91="Miete")*(April!$E$42:$E$91))</f>
        <v>0</v>
      </c>
      <c r="G17" s="15">
        <f>SUMPRODUCT((Mai!$B$42:$B$91="Wohnen")*(Mai!$C$42:$C$91="Miete")*(Mai!$E$42:$E$91))</f>
        <v>0</v>
      </c>
      <c r="H17" s="15">
        <f>SUMPRODUCT((Juni!$B$42:$B$91="Wohnen")*(Juni!$C$42:$C$91="Miete")*(Juni!$E$42:$E$91))</f>
        <v>0</v>
      </c>
      <c r="I17" s="15">
        <f>SUMPRODUCT((Juli!$B$42:$B$91="Wohnen")*(Juli!$C$42:$C$91="Miete")*(Juli!$E$42:$E$91))</f>
        <v>0</v>
      </c>
      <c r="J17" s="15">
        <f>SUMPRODUCT((August!$B$42:$B$91="Wohnen")*(August!$C$42:$C$91="Miete")*(August!$E$42:$E$91))</f>
        <v>0</v>
      </c>
      <c r="K17" s="15">
        <f>SUMPRODUCT((September!$B$42:$B$91="Wohnen")*(September!$C$42:$C$91="Miete")*(September!$E$42:$E$91))</f>
        <v>0</v>
      </c>
      <c r="L17" s="15">
        <f>SUMPRODUCT((Oktober!$B$42:$B$91="Wohnen")*(Oktober!$C$42:$C$91="Miete")*(Oktober!$E$42:$E$91))</f>
        <v>0</v>
      </c>
      <c r="M17" s="15">
        <f>SUMPRODUCT((November!$B$42:$B$91="Wohnen")*(November!$C$42:$C$91="Miete")*(November!$E$42:$E$91))</f>
        <v>0</v>
      </c>
      <c r="N17" s="15">
        <f>SUMPRODUCT((Dezember!$B$42:$B$91="Wohnen")*(Dezember!$C$42:$C$91="Miete")*(Dezember!$E$42:$E$91))</f>
        <v>0</v>
      </c>
      <c r="O17" s="16">
        <f>SUM(C17:N17)</f>
        <v>0</v>
      </c>
    </row>
    <row r="18" spans="1:15">
      <c r="A18" s="18" t="s">
        <v>6</v>
      </c>
      <c r="B18" s="18" t="s">
        <v>50</v>
      </c>
      <c r="C18" s="15">
        <f>SUMPRODUCT((Januar!$B$42:$B$91="Wohnen")*(Januar!$C$42:$C$91="Strom/Gas")*(Januar!$E$42:$E$91))</f>
        <v>0</v>
      </c>
      <c r="D18" s="15">
        <f>SUMPRODUCT((Februar!$B$42:$B$91="Wohnen")*(Februar!$C$42:$C$91="Strom/Gas")*(Februar!$E$42:$E$91))</f>
        <v>0</v>
      </c>
      <c r="E18" s="15">
        <f>SUMPRODUCT((März!$B$42:$B$91="Wohnen")*(März!$C$42:$C$91="Strom/Gas")*(März!$E$42:$E$91))</f>
        <v>0</v>
      </c>
      <c r="F18" s="15">
        <f>SUMPRODUCT((April!$B$42:$B$91="Wohnen")*(April!$C$42:$C$91="Strom/Gas")*(April!$E$42:$E$91))</f>
        <v>0</v>
      </c>
      <c r="G18" s="15">
        <f>SUMPRODUCT((Mai!$B$42:$B$91="Wohnen")*(Mai!$C$42:$C$91="Strom/Gas")*(Mai!$E$42:$E$91))</f>
        <v>0</v>
      </c>
      <c r="H18" s="15">
        <f>SUMPRODUCT((Juni!$B$42:$B$91="Wohnen")*(Juni!$C$42:$C$91="Strom/Gas")*(Juni!$E$42:$E$91))</f>
        <v>0</v>
      </c>
      <c r="I18" s="15">
        <f>SUMPRODUCT((Juli!$B$42:$B$91="Wohnen")*(Juli!$C$42:$C$91="Strom/Gas")*(Juli!$E$42:$E$91))</f>
        <v>0</v>
      </c>
      <c r="J18" s="15">
        <f>SUMPRODUCT((August!$B$42:$B$91="Wohnen")*(August!$C$42:$C$91="Strom/Gas")*(August!$E$42:$E$91))</f>
        <v>0</v>
      </c>
      <c r="K18" s="15">
        <f>SUMPRODUCT((September!$B$42:$B$91="Wohnen")*(September!$C$42:$C$91="Strom/Gas")*(September!$E$42:$E$91))</f>
        <v>0</v>
      </c>
      <c r="L18" s="15">
        <f>SUMPRODUCT((Oktober!$B$42:$B$91="Wohnen")*(Oktober!$C$42:$C$91="Strom/Gas")*(Oktober!$E$42:$E$91))</f>
        <v>0</v>
      </c>
      <c r="M18" s="15">
        <f>SUMPRODUCT((November!$B$42:$B$91="Wohnen")*(November!$C$42:$C$91="Strom/Gas")*(November!$E$42:$E$91))</f>
        <v>0</v>
      </c>
      <c r="N18" s="15">
        <f>SUMPRODUCT((Dezember!$B$42:$B$91="Wohnen")*(Dezember!$C$42:$C$91="Strom/Gas")*(Dezember!$E$42:$E$91))</f>
        <v>0</v>
      </c>
      <c r="O18" s="16">
        <f>SUM(C18:N18)</f>
        <v>0</v>
      </c>
    </row>
    <row r="19" spans="1:15">
      <c r="A19" s="18" t="s">
        <v>6</v>
      </c>
      <c r="B19" s="18" t="s">
        <v>51</v>
      </c>
      <c r="C19" s="15">
        <f>SUMPRODUCT((Januar!$B$42:$B$91="Wohnen")*(Januar!$C$42:$C$91="Internet")*(Januar!$E$42:$E$91))</f>
        <v>0</v>
      </c>
      <c r="D19" s="15">
        <f>SUMPRODUCT((Februar!$B$42:$B$91="Wohnen")*(Februar!$C$42:$C$91="Internet")*(Februar!$E$42:$E$91))</f>
        <v>0</v>
      </c>
      <c r="E19" s="15">
        <f>SUMPRODUCT((März!$B$42:$B$91="Wohnen")*(März!$C$42:$C$91="Internet")*(März!$E$42:$E$91))</f>
        <v>0</v>
      </c>
      <c r="F19" s="15">
        <f>SUMPRODUCT((April!$B$42:$B$91="Wohnen")*(April!$C$42:$C$91="Internet")*(April!$E$42:$E$91))</f>
        <v>0</v>
      </c>
      <c r="G19" s="15">
        <f>SUMPRODUCT((Mai!$B$42:$B$91="Wohnen")*(Mai!$C$42:$C$91="Internet")*(Mai!$E$42:$E$91))</f>
        <v>0</v>
      </c>
      <c r="H19" s="15">
        <f>SUMPRODUCT((Juni!$B$42:$B$91="Wohnen")*(Juni!$C$42:$C$91="Internet")*(Juni!$E$42:$E$91))</f>
        <v>0</v>
      </c>
      <c r="I19" s="15">
        <f>SUMPRODUCT((Juli!$B$42:$B$91="Wohnen")*(Juli!$C$42:$C$91="Internet")*(Juli!$E$42:$E$91))</f>
        <v>0</v>
      </c>
      <c r="J19" s="15">
        <f>SUMPRODUCT((August!$B$42:$B$91="Wohnen")*(August!$C$42:$C$91="Internet")*(August!$E$42:$E$91))</f>
        <v>0</v>
      </c>
      <c r="K19" s="15">
        <f>SUMPRODUCT((September!$B$42:$B$91="Wohnen")*(September!$C$42:$C$91="Internet")*(September!$E$42:$E$91))</f>
        <v>0</v>
      </c>
      <c r="L19" s="15">
        <f>SUMPRODUCT((Oktober!$B$42:$B$91="Wohnen")*(Oktober!$C$42:$C$91="Internet")*(Oktober!$E$42:$E$91))</f>
        <v>0</v>
      </c>
      <c r="M19" s="15">
        <f>SUMPRODUCT((November!$B$42:$B$91="Wohnen")*(November!$C$42:$C$91="Internet")*(November!$E$42:$E$91))</f>
        <v>0</v>
      </c>
      <c r="N19" s="15">
        <f>SUMPRODUCT((Dezember!$B$42:$B$91="Wohnen")*(Dezember!$C$42:$C$91="Internet")*(Dezember!$E$42:$E$91))</f>
        <v>0</v>
      </c>
      <c r="O19" s="16">
        <f>SUM(C19:N19)</f>
        <v>0</v>
      </c>
    </row>
    <row r="20" spans="1:15">
      <c r="A20" s="18" t="s">
        <v>6</v>
      </c>
      <c r="B20" s="18" t="s">
        <v>52</v>
      </c>
      <c r="C20" s="15">
        <f>SUMPRODUCT((Januar!$B$42:$B$91="Wohnen")*(Januar!$C$42:$C$91="Nebenkosten")*(Januar!$E$42:$E$91))</f>
        <v>0</v>
      </c>
      <c r="D20" s="15">
        <f>SUMPRODUCT((Februar!$B$42:$B$91="Wohnen")*(Februar!$C$42:$C$91="Nebenkosten")*(Februar!$E$42:$E$91))</f>
        <v>0</v>
      </c>
      <c r="E20" s="15">
        <f>SUMPRODUCT((März!$B$42:$B$91="Wohnen")*(März!$C$42:$C$91="Nebenkosten")*(März!$E$42:$E$91))</f>
        <v>0</v>
      </c>
      <c r="F20" s="15">
        <f>SUMPRODUCT((April!$B$42:$B$91="Wohnen")*(April!$C$42:$C$91="Nebenkosten")*(April!$E$42:$E$91))</f>
        <v>0</v>
      </c>
      <c r="G20" s="15">
        <f>SUMPRODUCT((Mai!$B$42:$B$91="Wohnen")*(Mai!$C$42:$C$91="Nebenkosten")*(Mai!$E$42:$E$91))</f>
        <v>0</v>
      </c>
      <c r="H20" s="15">
        <f>SUMPRODUCT((Juni!$B$42:$B$91="Wohnen")*(Juni!$C$42:$C$91="Nebenkosten")*(Juni!$E$42:$E$91))</f>
        <v>0</v>
      </c>
      <c r="I20" s="15">
        <f>SUMPRODUCT((Juli!$B$42:$B$91="Wohnen")*(Juli!$C$42:$C$91="Nebenkosten")*(Juli!$E$42:$E$91))</f>
        <v>0</v>
      </c>
      <c r="J20" s="15">
        <f>SUMPRODUCT((August!$B$42:$B$91="Wohnen")*(August!$C$42:$C$91="Nebenkosten")*(August!$E$42:$E$91))</f>
        <v>0</v>
      </c>
      <c r="K20" s="15">
        <f>SUMPRODUCT((September!$B$42:$B$91="Wohnen")*(September!$C$42:$C$91="Nebenkosten")*(September!$E$42:$E$91))</f>
        <v>0</v>
      </c>
      <c r="L20" s="15">
        <f>SUMPRODUCT((Oktober!$B$42:$B$91="Wohnen")*(Oktober!$C$42:$C$91="Nebenkosten")*(Oktober!$E$42:$E$91))</f>
        <v>0</v>
      </c>
      <c r="M20" s="15">
        <f>SUMPRODUCT((November!$B$42:$B$91="Wohnen")*(November!$C$42:$C$91="Nebenkosten")*(November!$E$42:$E$91))</f>
        <v>0</v>
      </c>
      <c r="N20" s="15">
        <f>SUMPRODUCT((Dezember!$B$42:$B$91="Wohnen")*(Dezember!$C$42:$C$91="Nebenkosten")*(Dezember!$E$42:$E$91))</f>
        <v>0</v>
      </c>
      <c r="O20" s="16">
        <f>SUM(C20:N20)</f>
        <v>0</v>
      </c>
    </row>
    <row r="21" spans="1:15">
      <c r="A21" s="18" t="s">
        <v>6</v>
      </c>
      <c r="B21" s="18" t="s">
        <v>53</v>
      </c>
      <c r="C21" s="15">
        <f>SUMPRODUCT((Januar!$B$42:$B$91="Wohnen")*(Januar!$C$42:$C$91="Sonstiges")*(Januar!$E$42:$E$91))</f>
        <v>0</v>
      </c>
      <c r="D21" s="15">
        <f>SUMPRODUCT((Februar!$B$42:$B$91="Wohnen")*(Februar!$C$42:$C$91="Sonstiges")*(Februar!$E$42:$E$91))</f>
        <v>0</v>
      </c>
      <c r="E21" s="15">
        <f>SUMPRODUCT((März!$B$42:$B$91="Wohnen")*(März!$C$42:$C$91="Sonstiges")*(März!$E$42:$E$91))</f>
        <v>0</v>
      </c>
      <c r="F21" s="15">
        <f>SUMPRODUCT((April!$B$42:$B$91="Wohnen")*(April!$C$42:$C$91="Sonstiges")*(April!$E$42:$E$91))</f>
        <v>0</v>
      </c>
      <c r="G21" s="15">
        <f>SUMPRODUCT((Mai!$B$42:$B$91="Wohnen")*(Mai!$C$42:$C$91="Sonstiges")*(Mai!$E$42:$E$91))</f>
        <v>0</v>
      </c>
      <c r="H21" s="15">
        <f>SUMPRODUCT((Juni!$B$42:$B$91="Wohnen")*(Juni!$C$42:$C$91="Sonstiges")*(Juni!$E$42:$E$91))</f>
        <v>0</v>
      </c>
      <c r="I21" s="15">
        <f>SUMPRODUCT((Juli!$B$42:$B$91="Wohnen")*(Juli!$C$42:$C$91="Sonstiges")*(Juli!$E$42:$E$91))</f>
        <v>0</v>
      </c>
      <c r="J21" s="15">
        <f>SUMPRODUCT((August!$B$42:$B$91="Wohnen")*(August!$C$42:$C$91="Sonstiges")*(August!$E$42:$E$91))</f>
        <v>0</v>
      </c>
      <c r="K21" s="15">
        <f>SUMPRODUCT((September!$B$42:$B$91="Wohnen")*(September!$C$42:$C$91="Sonstiges")*(September!$E$42:$E$91))</f>
        <v>0</v>
      </c>
      <c r="L21" s="15">
        <f>SUMPRODUCT((Oktober!$B$42:$B$91="Wohnen")*(Oktober!$C$42:$C$91="Sonstiges")*(Oktober!$E$42:$E$91))</f>
        <v>0</v>
      </c>
      <c r="M21" s="15">
        <f>SUMPRODUCT((November!$B$42:$B$91="Wohnen")*(November!$C$42:$C$91="Sonstiges")*(November!$E$42:$E$91))</f>
        <v>0</v>
      </c>
      <c r="N21" s="15">
        <f>SUMPRODUCT((Dezember!$B$42:$B$91="Wohnen")*(Dezember!$C$42:$C$91="Sonstiges")*(Dezember!$E$42:$E$91))</f>
        <v>0</v>
      </c>
      <c r="O21" s="16">
        <f>SUM(C21:N21)</f>
        <v>0</v>
      </c>
    </row>
    <row r="22" spans="1:15">
      <c r="A22" s="19" t="s">
        <v>6</v>
      </c>
      <c r="B22" s="20" t="s">
        <v>54</v>
      </c>
      <c r="C22" s="21">
        <f>SUM(C17:C21)</f>
        <v>0</v>
      </c>
      <c r="D22" s="21">
        <f>SUM(D17:D21)</f>
        <v>0</v>
      </c>
      <c r="E22" s="21">
        <f>SUM(E17:E21)</f>
        <v>0</v>
      </c>
      <c r="F22" s="21">
        <f>SUM(F17:F21)</f>
        <v>0</v>
      </c>
      <c r="G22" s="21">
        <f>SUM(G17:G21)</f>
        <v>0</v>
      </c>
      <c r="H22" s="21">
        <f>SUM(H17:H21)</f>
        <v>0</v>
      </c>
      <c r="I22" s="21">
        <f>SUM(I17:I21)</f>
        <v>0</v>
      </c>
      <c r="J22" s="21">
        <f>SUM(J17:J21)</f>
        <v>0</v>
      </c>
      <c r="K22" s="21">
        <f>SUM(K17:K21)</f>
        <v>0</v>
      </c>
      <c r="L22" s="21">
        <f>SUM(L17:L21)</f>
        <v>0</v>
      </c>
      <c r="M22" s="21">
        <f>SUM(M17:M21)</f>
        <v>0</v>
      </c>
      <c r="N22" s="21">
        <f>SUM(N17:N21)</f>
        <v>0</v>
      </c>
      <c r="O22" s="21">
        <f>SUM(O17:O21)</f>
        <v>0</v>
      </c>
    </row>
    <row r="24" spans="1:15">
      <c r="A24" s="18" t="s">
        <v>8</v>
      </c>
      <c r="B24" s="18" t="s">
        <v>55</v>
      </c>
      <c r="C24" s="15">
        <f>SUMPRODUCT((Januar!$B$42:$B$91="Lebensmittel")*(Januar!$C$42:$C$91="Supermarkt")*(Januar!$E$42:$E$91))</f>
        <v>0</v>
      </c>
      <c r="D24" s="15">
        <f>SUMPRODUCT((Februar!$B$42:$B$91="Lebensmittel")*(Februar!$C$42:$C$91="Supermarkt")*(Februar!$E$42:$E$91))</f>
        <v>0</v>
      </c>
      <c r="E24" s="15">
        <f>SUMPRODUCT((März!$B$42:$B$91="Lebensmittel")*(März!$C$42:$C$91="Supermarkt")*(März!$E$42:$E$91))</f>
        <v>0</v>
      </c>
      <c r="F24" s="15">
        <f>SUMPRODUCT((April!$B$42:$B$91="Lebensmittel")*(April!$C$42:$C$91="Supermarkt")*(April!$E$42:$E$91))</f>
        <v>0</v>
      </c>
      <c r="G24" s="15">
        <f>SUMPRODUCT((Mai!$B$42:$B$91="Lebensmittel")*(Mai!$C$42:$C$91="Supermarkt")*(Mai!$E$42:$E$91))</f>
        <v>0</v>
      </c>
      <c r="H24" s="15">
        <f>SUMPRODUCT((Juni!$B$42:$B$91="Lebensmittel")*(Juni!$C$42:$C$91="Supermarkt")*(Juni!$E$42:$E$91))</f>
        <v>0</v>
      </c>
      <c r="I24" s="15">
        <f>SUMPRODUCT((Juli!$B$42:$B$91="Lebensmittel")*(Juli!$C$42:$C$91="Supermarkt")*(Juli!$E$42:$E$91))</f>
        <v>0</v>
      </c>
      <c r="J24" s="15">
        <f>SUMPRODUCT((August!$B$42:$B$91="Lebensmittel")*(August!$C$42:$C$91="Supermarkt")*(August!$E$42:$E$91))</f>
        <v>0</v>
      </c>
      <c r="K24" s="15">
        <f>SUMPRODUCT((September!$B$42:$B$91="Lebensmittel")*(September!$C$42:$C$91="Supermarkt")*(September!$E$42:$E$91))</f>
        <v>0</v>
      </c>
      <c r="L24" s="15">
        <f>SUMPRODUCT((Oktober!$B$42:$B$91="Lebensmittel")*(Oktober!$C$42:$C$91="Supermarkt")*(Oktober!$E$42:$E$91))</f>
        <v>0</v>
      </c>
      <c r="M24" s="15">
        <f>SUMPRODUCT((November!$B$42:$B$91="Lebensmittel")*(November!$C$42:$C$91="Supermarkt")*(November!$E$42:$E$91))</f>
        <v>0</v>
      </c>
      <c r="N24" s="15">
        <f>SUMPRODUCT((Dezember!$B$42:$B$91="Lebensmittel")*(Dezember!$C$42:$C$91="Supermarkt")*(Dezember!$E$42:$E$91))</f>
        <v>0</v>
      </c>
      <c r="O24" s="16">
        <f>SUM(C24:N24)</f>
        <v>0</v>
      </c>
    </row>
    <row r="25" spans="1:15">
      <c r="A25" s="18" t="s">
        <v>8</v>
      </c>
      <c r="B25" s="18" t="s">
        <v>56</v>
      </c>
      <c r="C25" s="15">
        <f>SUMPRODUCT((Januar!$B$42:$B$91="Lebensmittel")*(Januar!$C$42:$C$91="Drogerie")*(Januar!$E$42:$E$91))</f>
        <v>0</v>
      </c>
      <c r="D25" s="15">
        <f>SUMPRODUCT((Februar!$B$42:$B$91="Lebensmittel")*(Februar!$C$42:$C$91="Drogerie")*(Februar!$E$42:$E$91))</f>
        <v>0</v>
      </c>
      <c r="E25" s="15">
        <f>SUMPRODUCT((März!$B$42:$B$91="Lebensmittel")*(März!$C$42:$C$91="Drogerie")*(März!$E$42:$E$91))</f>
        <v>0</v>
      </c>
      <c r="F25" s="15">
        <f>SUMPRODUCT((April!$B$42:$B$91="Lebensmittel")*(April!$C$42:$C$91="Drogerie")*(April!$E$42:$E$91))</f>
        <v>0</v>
      </c>
      <c r="G25" s="15">
        <f>SUMPRODUCT((Mai!$B$42:$B$91="Lebensmittel")*(Mai!$C$42:$C$91="Drogerie")*(Mai!$E$42:$E$91))</f>
        <v>0</v>
      </c>
      <c r="H25" s="15">
        <f>SUMPRODUCT((Juni!$B$42:$B$91="Lebensmittel")*(Juni!$C$42:$C$91="Drogerie")*(Juni!$E$42:$E$91))</f>
        <v>0</v>
      </c>
      <c r="I25" s="15">
        <f>SUMPRODUCT((Juli!$B$42:$B$91="Lebensmittel")*(Juli!$C$42:$C$91="Drogerie")*(Juli!$E$42:$E$91))</f>
        <v>0</v>
      </c>
      <c r="J25" s="15">
        <f>SUMPRODUCT((August!$B$42:$B$91="Lebensmittel")*(August!$C$42:$C$91="Drogerie")*(August!$E$42:$E$91))</f>
        <v>0</v>
      </c>
      <c r="K25" s="15">
        <f>SUMPRODUCT((September!$B$42:$B$91="Lebensmittel")*(September!$C$42:$C$91="Drogerie")*(September!$E$42:$E$91))</f>
        <v>0</v>
      </c>
      <c r="L25" s="15">
        <f>SUMPRODUCT((Oktober!$B$42:$B$91="Lebensmittel")*(Oktober!$C$42:$C$91="Drogerie")*(Oktober!$E$42:$E$91))</f>
        <v>0</v>
      </c>
      <c r="M25" s="15">
        <f>SUMPRODUCT((November!$B$42:$B$91="Lebensmittel")*(November!$C$42:$C$91="Drogerie")*(November!$E$42:$E$91))</f>
        <v>0</v>
      </c>
      <c r="N25" s="15">
        <f>SUMPRODUCT((Dezember!$B$42:$B$91="Lebensmittel")*(Dezember!$C$42:$C$91="Drogerie")*(Dezember!$E$42:$E$91))</f>
        <v>0</v>
      </c>
      <c r="O25" s="16">
        <f>SUM(C25:N25)</f>
        <v>0</v>
      </c>
    </row>
    <row r="26" spans="1:15">
      <c r="A26" s="18" t="s">
        <v>8</v>
      </c>
      <c r="B26" s="18" t="s">
        <v>53</v>
      </c>
      <c r="C26" s="15">
        <f>SUMPRODUCT((Januar!$B$42:$B$91="Lebensmittel")*(Januar!$C$42:$C$91="Sonstiges")*(Januar!$E$42:$E$91))</f>
        <v>0</v>
      </c>
      <c r="D26" s="15">
        <f>SUMPRODUCT((Februar!$B$42:$B$91="Lebensmittel")*(Februar!$C$42:$C$91="Sonstiges")*(Februar!$E$42:$E$91))</f>
        <v>0</v>
      </c>
      <c r="E26" s="15">
        <f>SUMPRODUCT((März!$B$42:$B$91="Lebensmittel")*(März!$C$42:$C$91="Sonstiges")*(März!$E$42:$E$91))</f>
        <v>0</v>
      </c>
      <c r="F26" s="15">
        <f>SUMPRODUCT((April!$B$42:$B$91="Lebensmittel")*(April!$C$42:$C$91="Sonstiges")*(April!$E$42:$E$91))</f>
        <v>0</v>
      </c>
      <c r="G26" s="15">
        <f>SUMPRODUCT((Mai!$B$42:$B$91="Lebensmittel")*(Mai!$C$42:$C$91="Sonstiges")*(Mai!$E$42:$E$91))</f>
        <v>0</v>
      </c>
      <c r="H26" s="15">
        <f>SUMPRODUCT((Juni!$B$42:$B$91="Lebensmittel")*(Juni!$C$42:$C$91="Sonstiges")*(Juni!$E$42:$E$91))</f>
        <v>0</v>
      </c>
      <c r="I26" s="15">
        <f>SUMPRODUCT((Juli!$B$42:$B$91="Lebensmittel")*(Juli!$C$42:$C$91="Sonstiges")*(Juli!$E$42:$E$91))</f>
        <v>0</v>
      </c>
      <c r="J26" s="15">
        <f>SUMPRODUCT((August!$B$42:$B$91="Lebensmittel")*(August!$C$42:$C$91="Sonstiges")*(August!$E$42:$E$91))</f>
        <v>0</v>
      </c>
      <c r="K26" s="15">
        <f>SUMPRODUCT((September!$B$42:$B$91="Lebensmittel")*(September!$C$42:$C$91="Sonstiges")*(September!$E$42:$E$91))</f>
        <v>0</v>
      </c>
      <c r="L26" s="15">
        <f>SUMPRODUCT((Oktober!$B$42:$B$91="Lebensmittel")*(Oktober!$C$42:$C$91="Sonstiges")*(Oktober!$E$42:$E$91))</f>
        <v>0</v>
      </c>
      <c r="M26" s="15">
        <f>SUMPRODUCT((November!$B$42:$B$91="Lebensmittel")*(November!$C$42:$C$91="Sonstiges")*(November!$E$42:$E$91))</f>
        <v>0</v>
      </c>
      <c r="N26" s="15">
        <f>SUMPRODUCT((Dezember!$B$42:$B$91="Lebensmittel")*(Dezember!$C$42:$C$91="Sonstiges")*(Dezember!$E$42:$E$91))</f>
        <v>0</v>
      </c>
      <c r="O26" s="16">
        <f>SUM(C26:N26)</f>
        <v>0</v>
      </c>
    </row>
    <row r="27" spans="1:15">
      <c r="A27" s="19" t="s">
        <v>8</v>
      </c>
      <c r="B27" s="20" t="s">
        <v>54</v>
      </c>
      <c r="C27" s="21">
        <f>SUM(C24:C26)</f>
        <v>0</v>
      </c>
      <c r="D27" s="21">
        <f>SUM(D24:D26)</f>
        <v>0</v>
      </c>
      <c r="E27" s="21">
        <f>SUM(E24:E26)</f>
        <v>0</v>
      </c>
      <c r="F27" s="21">
        <f>SUM(F24:F26)</f>
        <v>0</v>
      </c>
      <c r="G27" s="21">
        <f>SUM(G24:G26)</f>
        <v>0</v>
      </c>
      <c r="H27" s="21">
        <f>SUM(H24:H26)</f>
        <v>0</v>
      </c>
      <c r="I27" s="21">
        <f>SUM(I24:I26)</f>
        <v>0</v>
      </c>
      <c r="J27" s="21">
        <f>SUM(J24:J26)</f>
        <v>0</v>
      </c>
      <c r="K27" s="21">
        <f>SUM(K24:K26)</f>
        <v>0</v>
      </c>
      <c r="L27" s="21">
        <f>SUM(L24:L26)</f>
        <v>0</v>
      </c>
      <c r="M27" s="21">
        <f>SUM(M24:M26)</f>
        <v>0</v>
      </c>
      <c r="N27" s="21">
        <f>SUM(N24:N26)</f>
        <v>0</v>
      </c>
      <c r="O27" s="21">
        <f>SUM(O24:O26)</f>
        <v>0</v>
      </c>
    </row>
    <row r="29" spans="1:15">
      <c r="A29" s="18" t="s">
        <v>10</v>
      </c>
      <c r="B29" s="18" t="s">
        <v>57</v>
      </c>
      <c r="C29" s="15">
        <f>SUMPRODUCT((Januar!$B$42:$B$91="Transport")*(Januar!$C$42:$C$91="Tanken")*(Januar!$E$42:$E$91))</f>
        <v>0</v>
      </c>
      <c r="D29" s="15">
        <f>SUMPRODUCT((Februar!$B$42:$B$91="Transport")*(Februar!$C$42:$C$91="Tanken")*(Februar!$E$42:$E$91))</f>
        <v>0</v>
      </c>
      <c r="E29" s="15">
        <f>SUMPRODUCT((März!$B$42:$B$91="Transport")*(März!$C$42:$C$91="Tanken")*(März!$E$42:$E$91))</f>
        <v>0</v>
      </c>
      <c r="F29" s="15">
        <f>SUMPRODUCT((April!$B$42:$B$91="Transport")*(April!$C$42:$C$91="Tanken")*(April!$E$42:$E$91))</f>
        <v>0</v>
      </c>
      <c r="G29" s="15">
        <f>SUMPRODUCT((Mai!$B$42:$B$91="Transport")*(Mai!$C$42:$C$91="Tanken")*(Mai!$E$42:$E$91))</f>
        <v>0</v>
      </c>
      <c r="H29" s="15">
        <f>SUMPRODUCT((Juni!$B$42:$B$91="Transport")*(Juni!$C$42:$C$91="Tanken")*(Juni!$E$42:$E$91))</f>
        <v>0</v>
      </c>
      <c r="I29" s="15">
        <f>SUMPRODUCT((Juli!$B$42:$B$91="Transport")*(Juli!$C$42:$C$91="Tanken")*(Juli!$E$42:$E$91))</f>
        <v>0</v>
      </c>
      <c r="J29" s="15">
        <f>SUMPRODUCT((August!$B$42:$B$91="Transport")*(August!$C$42:$C$91="Tanken")*(August!$E$42:$E$91))</f>
        <v>0</v>
      </c>
      <c r="K29" s="15">
        <f>SUMPRODUCT((September!$B$42:$B$91="Transport")*(September!$C$42:$C$91="Tanken")*(September!$E$42:$E$91))</f>
        <v>0</v>
      </c>
      <c r="L29" s="15">
        <f>SUMPRODUCT((Oktober!$B$42:$B$91="Transport")*(Oktober!$C$42:$C$91="Tanken")*(Oktober!$E$42:$E$91))</f>
        <v>0</v>
      </c>
      <c r="M29" s="15">
        <f>SUMPRODUCT((November!$B$42:$B$91="Transport")*(November!$C$42:$C$91="Tanken")*(November!$E$42:$E$91))</f>
        <v>0</v>
      </c>
      <c r="N29" s="15">
        <f>SUMPRODUCT((Dezember!$B$42:$B$91="Transport")*(Dezember!$C$42:$C$91="Tanken")*(Dezember!$E$42:$E$91))</f>
        <v>0</v>
      </c>
      <c r="O29" s="16">
        <f>SUM(C29:N29)</f>
        <v>0</v>
      </c>
    </row>
    <row r="30" spans="1:15">
      <c r="A30" s="18" t="s">
        <v>10</v>
      </c>
      <c r="B30" s="18" t="s">
        <v>58</v>
      </c>
      <c r="C30" s="15">
        <f>SUMPRODUCT((Januar!$B$42:$B$91="Transport")*(Januar!$C$42:$C$91="ÖPNV")*(Januar!$E$42:$E$91))</f>
        <v>0</v>
      </c>
      <c r="D30" s="15">
        <f>SUMPRODUCT((Februar!$B$42:$B$91="Transport")*(Februar!$C$42:$C$91="ÖPNV")*(Februar!$E$42:$E$91))</f>
        <v>0</v>
      </c>
      <c r="E30" s="15">
        <f>SUMPRODUCT((März!$B$42:$B$91="Transport")*(März!$C$42:$C$91="ÖPNV")*(März!$E$42:$E$91))</f>
        <v>0</v>
      </c>
      <c r="F30" s="15">
        <f>SUMPRODUCT((April!$B$42:$B$91="Transport")*(April!$C$42:$C$91="ÖPNV")*(April!$E$42:$E$91))</f>
        <v>0</v>
      </c>
      <c r="G30" s="15">
        <f>SUMPRODUCT((Mai!$B$42:$B$91="Transport")*(Mai!$C$42:$C$91="ÖPNV")*(Mai!$E$42:$E$91))</f>
        <v>0</v>
      </c>
      <c r="H30" s="15">
        <f>SUMPRODUCT((Juni!$B$42:$B$91="Transport")*(Juni!$C$42:$C$91="ÖPNV")*(Juni!$E$42:$E$91))</f>
        <v>0</v>
      </c>
      <c r="I30" s="15">
        <f>SUMPRODUCT((Juli!$B$42:$B$91="Transport")*(Juli!$C$42:$C$91="ÖPNV")*(Juli!$E$42:$E$91))</f>
        <v>0</v>
      </c>
      <c r="J30" s="15">
        <f>SUMPRODUCT((August!$B$42:$B$91="Transport")*(August!$C$42:$C$91="ÖPNV")*(August!$E$42:$E$91))</f>
        <v>0</v>
      </c>
      <c r="K30" s="15">
        <f>SUMPRODUCT((September!$B$42:$B$91="Transport")*(September!$C$42:$C$91="ÖPNV")*(September!$E$42:$E$91))</f>
        <v>0</v>
      </c>
      <c r="L30" s="15">
        <f>SUMPRODUCT((Oktober!$B$42:$B$91="Transport")*(Oktober!$C$42:$C$91="ÖPNV")*(Oktober!$E$42:$E$91))</f>
        <v>0</v>
      </c>
      <c r="M30" s="15">
        <f>SUMPRODUCT((November!$B$42:$B$91="Transport")*(November!$C$42:$C$91="ÖPNV")*(November!$E$42:$E$91))</f>
        <v>0</v>
      </c>
      <c r="N30" s="15">
        <f>SUMPRODUCT((Dezember!$B$42:$B$91="Transport")*(Dezember!$C$42:$C$91="ÖPNV")*(Dezember!$E$42:$E$91))</f>
        <v>0</v>
      </c>
      <c r="O30" s="16">
        <f>SUM(C30:N30)</f>
        <v>0</v>
      </c>
    </row>
    <row r="31" spans="1:15">
      <c r="A31" s="18" t="s">
        <v>10</v>
      </c>
      <c r="B31" s="18" t="s">
        <v>59</v>
      </c>
      <c r="C31" s="15">
        <f>SUMPRODUCT((Januar!$B$42:$B$91="Transport")*(Januar!$C$42:$C$91="Wartung/Reparatur")*(Januar!$E$42:$E$91))</f>
        <v>0</v>
      </c>
      <c r="D31" s="15">
        <f>SUMPRODUCT((Februar!$B$42:$B$91="Transport")*(Februar!$C$42:$C$91="Wartung/Reparatur")*(Februar!$E$42:$E$91))</f>
        <v>0</v>
      </c>
      <c r="E31" s="15">
        <f>SUMPRODUCT((März!$B$42:$B$91="Transport")*(März!$C$42:$C$91="Wartung/Reparatur")*(März!$E$42:$E$91))</f>
        <v>0</v>
      </c>
      <c r="F31" s="15">
        <f>SUMPRODUCT((April!$B$42:$B$91="Transport")*(April!$C$42:$C$91="Wartung/Reparatur")*(April!$E$42:$E$91))</f>
        <v>0</v>
      </c>
      <c r="G31" s="15">
        <f>SUMPRODUCT((Mai!$B$42:$B$91="Transport")*(Mai!$C$42:$C$91="Wartung/Reparatur")*(Mai!$E$42:$E$91))</f>
        <v>0</v>
      </c>
      <c r="H31" s="15">
        <f>SUMPRODUCT((Juni!$B$42:$B$91="Transport")*(Juni!$C$42:$C$91="Wartung/Reparatur")*(Juni!$E$42:$E$91))</f>
        <v>0</v>
      </c>
      <c r="I31" s="15">
        <f>SUMPRODUCT((Juli!$B$42:$B$91="Transport")*(Juli!$C$42:$C$91="Wartung/Reparatur")*(Juli!$E$42:$E$91))</f>
        <v>0</v>
      </c>
      <c r="J31" s="15">
        <f>SUMPRODUCT((August!$B$42:$B$91="Transport")*(August!$C$42:$C$91="Wartung/Reparatur")*(August!$E$42:$E$91))</f>
        <v>0</v>
      </c>
      <c r="K31" s="15">
        <f>SUMPRODUCT((September!$B$42:$B$91="Transport")*(September!$C$42:$C$91="Wartung/Reparatur")*(September!$E$42:$E$91))</f>
        <v>0</v>
      </c>
      <c r="L31" s="15">
        <f>SUMPRODUCT((Oktober!$B$42:$B$91="Transport")*(Oktober!$C$42:$C$91="Wartung/Reparatur")*(Oktober!$E$42:$E$91))</f>
        <v>0</v>
      </c>
      <c r="M31" s="15">
        <f>SUMPRODUCT((November!$B$42:$B$91="Transport")*(November!$C$42:$C$91="Wartung/Reparatur")*(November!$E$42:$E$91))</f>
        <v>0</v>
      </c>
      <c r="N31" s="15">
        <f>SUMPRODUCT((Dezember!$B$42:$B$91="Transport")*(Dezember!$C$42:$C$91="Wartung/Reparatur")*(Dezember!$E$42:$E$91))</f>
        <v>0</v>
      </c>
      <c r="O31" s="16">
        <f>SUM(C31:N31)</f>
        <v>0</v>
      </c>
    </row>
    <row r="32" spans="1:15">
      <c r="A32" s="18" t="s">
        <v>10</v>
      </c>
      <c r="B32" s="18" t="s">
        <v>53</v>
      </c>
      <c r="C32" s="15">
        <f>SUMPRODUCT((Januar!$B$42:$B$91="Transport")*(Januar!$C$42:$C$91="Sonstiges")*(Januar!$E$42:$E$91))</f>
        <v>0</v>
      </c>
      <c r="D32" s="15">
        <f>SUMPRODUCT((Februar!$B$42:$B$91="Transport")*(Februar!$C$42:$C$91="Sonstiges")*(Februar!$E$42:$E$91))</f>
        <v>0</v>
      </c>
      <c r="E32" s="15">
        <f>SUMPRODUCT((März!$B$42:$B$91="Transport")*(März!$C$42:$C$91="Sonstiges")*(März!$E$42:$E$91))</f>
        <v>0</v>
      </c>
      <c r="F32" s="15">
        <f>SUMPRODUCT((April!$B$42:$B$91="Transport")*(April!$C$42:$C$91="Sonstiges")*(April!$E$42:$E$91))</f>
        <v>0</v>
      </c>
      <c r="G32" s="15">
        <f>SUMPRODUCT((Mai!$B$42:$B$91="Transport")*(Mai!$C$42:$C$91="Sonstiges")*(Mai!$E$42:$E$91))</f>
        <v>0</v>
      </c>
      <c r="H32" s="15">
        <f>SUMPRODUCT((Juni!$B$42:$B$91="Transport")*(Juni!$C$42:$C$91="Sonstiges")*(Juni!$E$42:$E$91))</f>
        <v>0</v>
      </c>
      <c r="I32" s="15">
        <f>SUMPRODUCT((Juli!$B$42:$B$91="Transport")*(Juli!$C$42:$C$91="Sonstiges")*(Juli!$E$42:$E$91))</f>
        <v>0</v>
      </c>
      <c r="J32" s="15">
        <f>SUMPRODUCT((August!$B$42:$B$91="Transport")*(August!$C$42:$C$91="Sonstiges")*(August!$E$42:$E$91))</f>
        <v>0</v>
      </c>
      <c r="K32" s="15">
        <f>SUMPRODUCT((September!$B$42:$B$91="Transport")*(September!$C$42:$C$91="Sonstiges")*(September!$E$42:$E$91))</f>
        <v>0</v>
      </c>
      <c r="L32" s="15">
        <f>SUMPRODUCT((Oktober!$B$42:$B$91="Transport")*(Oktober!$C$42:$C$91="Sonstiges")*(Oktober!$E$42:$E$91))</f>
        <v>0</v>
      </c>
      <c r="M32" s="15">
        <f>SUMPRODUCT((November!$B$42:$B$91="Transport")*(November!$C$42:$C$91="Sonstiges")*(November!$E$42:$E$91))</f>
        <v>0</v>
      </c>
      <c r="N32" s="15">
        <f>SUMPRODUCT((Dezember!$B$42:$B$91="Transport")*(Dezember!$C$42:$C$91="Sonstiges")*(Dezember!$E$42:$E$91))</f>
        <v>0</v>
      </c>
      <c r="O32" s="16">
        <f>SUM(C32:N32)</f>
        <v>0</v>
      </c>
    </row>
    <row r="33" spans="1:15">
      <c r="A33" s="19" t="s">
        <v>10</v>
      </c>
      <c r="B33" s="20" t="s">
        <v>54</v>
      </c>
      <c r="C33" s="21">
        <f>SUM(C29:C32)</f>
        <v>0</v>
      </c>
      <c r="D33" s="21">
        <f>SUM(D29:D32)</f>
        <v>0</v>
      </c>
      <c r="E33" s="21">
        <f>SUM(E29:E32)</f>
        <v>0</v>
      </c>
      <c r="F33" s="21">
        <f>SUM(F29:F32)</f>
        <v>0</v>
      </c>
      <c r="G33" s="21">
        <f>SUM(G29:G32)</f>
        <v>0</v>
      </c>
      <c r="H33" s="21">
        <f>SUM(H29:H32)</f>
        <v>0</v>
      </c>
      <c r="I33" s="21">
        <f>SUM(I29:I32)</f>
        <v>0</v>
      </c>
      <c r="J33" s="21">
        <f>SUM(J29:J32)</f>
        <v>0</v>
      </c>
      <c r="K33" s="21">
        <f>SUM(K29:K32)</f>
        <v>0</v>
      </c>
      <c r="L33" s="21">
        <f>SUM(L29:L32)</f>
        <v>0</v>
      </c>
      <c r="M33" s="21">
        <f>SUM(M29:M32)</f>
        <v>0</v>
      </c>
      <c r="N33" s="21">
        <f>SUM(N29:N32)</f>
        <v>0</v>
      </c>
      <c r="O33" s="21">
        <f>SUM(O29:O32)</f>
        <v>0</v>
      </c>
    </row>
    <row r="35" spans="1:15">
      <c r="A35" s="18" t="s">
        <v>12</v>
      </c>
      <c r="B35" s="18" t="s">
        <v>60</v>
      </c>
      <c r="C35" s="15">
        <f>SUMPRODUCT((Januar!$B$42:$B$91="Freizeit")*(Januar!$C$42:$C$91="Kino/Events")*(Januar!$E$42:$E$91))</f>
        <v>0</v>
      </c>
      <c r="D35" s="15">
        <f>SUMPRODUCT((Februar!$B$42:$B$91="Freizeit")*(Februar!$C$42:$C$91="Kino/Events")*(Februar!$E$42:$E$91))</f>
        <v>0</v>
      </c>
      <c r="E35" s="15">
        <f>SUMPRODUCT((März!$B$42:$B$91="Freizeit")*(März!$C$42:$C$91="Kino/Events")*(März!$E$42:$E$91))</f>
        <v>0</v>
      </c>
      <c r="F35" s="15">
        <f>SUMPRODUCT((April!$B$42:$B$91="Freizeit")*(April!$C$42:$C$91="Kino/Events")*(April!$E$42:$E$91))</f>
        <v>0</v>
      </c>
      <c r="G35" s="15">
        <f>SUMPRODUCT((Mai!$B$42:$B$91="Freizeit")*(Mai!$C$42:$C$91="Kino/Events")*(Mai!$E$42:$E$91))</f>
        <v>0</v>
      </c>
      <c r="H35" s="15">
        <f>SUMPRODUCT((Juni!$B$42:$B$91="Freizeit")*(Juni!$C$42:$C$91="Kino/Events")*(Juni!$E$42:$E$91))</f>
        <v>0</v>
      </c>
      <c r="I35" s="15">
        <f>SUMPRODUCT((Juli!$B$42:$B$91="Freizeit")*(Juli!$C$42:$C$91="Kino/Events")*(Juli!$E$42:$E$91))</f>
        <v>0</v>
      </c>
      <c r="J35" s="15">
        <f>SUMPRODUCT((August!$B$42:$B$91="Freizeit")*(August!$C$42:$C$91="Kino/Events")*(August!$E$42:$E$91))</f>
        <v>0</v>
      </c>
      <c r="K35" s="15">
        <f>SUMPRODUCT((September!$B$42:$B$91="Freizeit")*(September!$C$42:$C$91="Kino/Events")*(September!$E$42:$E$91))</f>
        <v>0</v>
      </c>
      <c r="L35" s="15">
        <f>SUMPRODUCT((Oktober!$B$42:$B$91="Freizeit")*(Oktober!$C$42:$C$91="Kino/Events")*(Oktober!$E$42:$E$91))</f>
        <v>0</v>
      </c>
      <c r="M35" s="15">
        <f>SUMPRODUCT((November!$B$42:$B$91="Freizeit")*(November!$C$42:$C$91="Kino/Events")*(November!$E$42:$E$91))</f>
        <v>0</v>
      </c>
      <c r="N35" s="15">
        <f>SUMPRODUCT((Dezember!$B$42:$B$91="Freizeit")*(Dezember!$C$42:$C$91="Kino/Events")*(Dezember!$E$42:$E$91))</f>
        <v>0</v>
      </c>
      <c r="O35" s="16">
        <f>SUM(C35:N35)</f>
        <v>0</v>
      </c>
    </row>
    <row r="36" spans="1:15">
      <c r="A36" s="18" t="s">
        <v>12</v>
      </c>
      <c r="B36" s="18" t="s">
        <v>61</v>
      </c>
      <c r="C36" s="15">
        <f>SUMPRODUCT((Januar!$B$42:$B$91="Freizeit")*(Januar!$C$42:$C$91="Hobbys")*(Januar!$E$42:$E$91))</f>
        <v>0</v>
      </c>
      <c r="D36" s="15">
        <f>SUMPRODUCT((Februar!$B$42:$B$91="Freizeit")*(Februar!$C$42:$C$91="Hobbys")*(Februar!$E$42:$E$91))</f>
        <v>0</v>
      </c>
      <c r="E36" s="15">
        <f>SUMPRODUCT((März!$B$42:$B$91="Freizeit")*(März!$C$42:$C$91="Hobbys")*(März!$E$42:$E$91))</f>
        <v>0</v>
      </c>
      <c r="F36" s="15">
        <f>SUMPRODUCT((April!$B$42:$B$91="Freizeit")*(April!$C$42:$C$91="Hobbys")*(April!$E$42:$E$91))</f>
        <v>0</v>
      </c>
      <c r="G36" s="15">
        <f>SUMPRODUCT((Mai!$B$42:$B$91="Freizeit")*(Mai!$C$42:$C$91="Hobbys")*(Mai!$E$42:$E$91))</f>
        <v>0</v>
      </c>
      <c r="H36" s="15">
        <f>SUMPRODUCT((Juni!$B$42:$B$91="Freizeit")*(Juni!$C$42:$C$91="Hobbys")*(Juni!$E$42:$E$91))</f>
        <v>0</v>
      </c>
      <c r="I36" s="15">
        <f>SUMPRODUCT((Juli!$B$42:$B$91="Freizeit")*(Juli!$C$42:$C$91="Hobbys")*(Juli!$E$42:$E$91))</f>
        <v>0</v>
      </c>
      <c r="J36" s="15">
        <f>SUMPRODUCT((August!$B$42:$B$91="Freizeit")*(August!$C$42:$C$91="Hobbys")*(August!$E$42:$E$91))</f>
        <v>0</v>
      </c>
      <c r="K36" s="15">
        <f>SUMPRODUCT((September!$B$42:$B$91="Freizeit")*(September!$C$42:$C$91="Hobbys")*(September!$E$42:$E$91))</f>
        <v>0</v>
      </c>
      <c r="L36" s="15">
        <f>SUMPRODUCT((Oktober!$B$42:$B$91="Freizeit")*(Oktober!$C$42:$C$91="Hobbys")*(Oktober!$E$42:$E$91))</f>
        <v>0</v>
      </c>
      <c r="M36" s="15">
        <f>SUMPRODUCT((November!$B$42:$B$91="Freizeit")*(November!$C$42:$C$91="Hobbys")*(November!$E$42:$E$91))</f>
        <v>0</v>
      </c>
      <c r="N36" s="15">
        <f>SUMPRODUCT((Dezember!$B$42:$B$91="Freizeit")*(Dezember!$C$42:$C$91="Hobbys")*(Dezember!$E$42:$E$91))</f>
        <v>0</v>
      </c>
      <c r="O36" s="16">
        <f>SUM(C36:N36)</f>
        <v>0</v>
      </c>
    </row>
    <row r="37" spans="1:15">
      <c r="A37" s="18" t="s">
        <v>12</v>
      </c>
      <c r="B37" s="18" t="s">
        <v>62</v>
      </c>
      <c r="C37" s="15">
        <f>SUMPRODUCT((Januar!$B$42:$B$91="Freizeit")*(Januar!$C$42:$C$91="Urlaub")*(Januar!$E$42:$E$91))</f>
        <v>0</v>
      </c>
      <c r="D37" s="15">
        <f>SUMPRODUCT((Februar!$B$42:$B$91="Freizeit")*(Februar!$C$42:$C$91="Urlaub")*(Februar!$E$42:$E$91))</f>
        <v>0</v>
      </c>
      <c r="E37" s="15">
        <f>SUMPRODUCT((März!$B$42:$B$91="Freizeit")*(März!$C$42:$C$91="Urlaub")*(März!$E$42:$E$91))</f>
        <v>0</v>
      </c>
      <c r="F37" s="15">
        <f>SUMPRODUCT((April!$B$42:$B$91="Freizeit")*(April!$C$42:$C$91="Urlaub")*(April!$E$42:$E$91))</f>
        <v>0</v>
      </c>
      <c r="G37" s="15">
        <f>SUMPRODUCT((Mai!$B$42:$B$91="Freizeit")*(Mai!$C$42:$C$91="Urlaub")*(Mai!$E$42:$E$91))</f>
        <v>0</v>
      </c>
      <c r="H37" s="15">
        <f>SUMPRODUCT((Juni!$B$42:$B$91="Freizeit")*(Juni!$C$42:$C$91="Urlaub")*(Juni!$E$42:$E$91))</f>
        <v>0</v>
      </c>
      <c r="I37" s="15">
        <f>SUMPRODUCT((Juli!$B$42:$B$91="Freizeit")*(Juli!$C$42:$C$91="Urlaub")*(Juli!$E$42:$E$91))</f>
        <v>0</v>
      </c>
      <c r="J37" s="15">
        <f>SUMPRODUCT((August!$B$42:$B$91="Freizeit")*(August!$C$42:$C$91="Urlaub")*(August!$E$42:$E$91))</f>
        <v>0</v>
      </c>
      <c r="K37" s="15">
        <f>SUMPRODUCT((September!$B$42:$B$91="Freizeit")*(September!$C$42:$C$91="Urlaub")*(September!$E$42:$E$91))</f>
        <v>0</v>
      </c>
      <c r="L37" s="15">
        <f>SUMPRODUCT((Oktober!$B$42:$B$91="Freizeit")*(Oktober!$C$42:$C$91="Urlaub")*(Oktober!$E$42:$E$91))</f>
        <v>0</v>
      </c>
      <c r="M37" s="15">
        <f>SUMPRODUCT((November!$B$42:$B$91="Freizeit")*(November!$C$42:$C$91="Urlaub")*(November!$E$42:$E$91))</f>
        <v>0</v>
      </c>
      <c r="N37" s="15">
        <f>SUMPRODUCT((Dezember!$B$42:$B$91="Freizeit")*(Dezember!$C$42:$C$91="Urlaub")*(Dezember!$E$42:$E$91))</f>
        <v>0</v>
      </c>
      <c r="O37" s="16">
        <f>SUM(C37:N37)</f>
        <v>0</v>
      </c>
    </row>
    <row r="38" spans="1:15">
      <c r="A38" s="18" t="s">
        <v>12</v>
      </c>
      <c r="B38" s="18" t="s">
        <v>53</v>
      </c>
      <c r="C38" s="15">
        <f>SUMPRODUCT((Januar!$B$42:$B$91="Freizeit")*(Januar!$C$42:$C$91="Sonstiges")*(Januar!$E$42:$E$91))</f>
        <v>0</v>
      </c>
      <c r="D38" s="15">
        <f>SUMPRODUCT((Februar!$B$42:$B$91="Freizeit")*(Februar!$C$42:$C$91="Sonstiges")*(Februar!$E$42:$E$91))</f>
        <v>0</v>
      </c>
      <c r="E38" s="15">
        <f>SUMPRODUCT((März!$B$42:$B$91="Freizeit")*(März!$C$42:$C$91="Sonstiges")*(März!$E$42:$E$91))</f>
        <v>0</v>
      </c>
      <c r="F38" s="15">
        <f>SUMPRODUCT((April!$B$42:$B$91="Freizeit")*(April!$C$42:$C$91="Sonstiges")*(April!$E$42:$E$91))</f>
        <v>0</v>
      </c>
      <c r="G38" s="15">
        <f>SUMPRODUCT((Mai!$B$42:$B$91="Freizeit")*(Mai!$C$42:$C$91="Sonstiges")*(Mai!$E$42:$E$91))</f>
        <v>0</v>
      </c>
      <c r="H38" s="15">
        <f>SUMPRODUCT((Juni!$B$42:$B$91="Freizeit")*(Juni!$C$42:$C$91="Sonstiges")*(Juni!$E$42:$E$91))</f>
        <v>0</v>
      </c>
      <c r="I38" s="15">
        <f>SUMPRODUCT((Juli!$B$42:$B$91="Freizeit")*(Juli!$C$42:$C$91="Sonstiges")*(Juli!$E$42:$E$91))</f>
        <v>0</v>
      </c>
      <c r="J38" s="15">
        <f>SUMPRODUCT((August!$B$42:$B$91="Freizeit")*(August!$C$42:$C$91="Sonstiges")*(August!$E$42:$E$91))</f>
        <v>0</v>
      </c>
      <c r="K38" s="15">
        <f>SUMPRODUCT((September!$B$42:$B$91="Freizeit")*(September!$C$42:$C$91="Sonstiges")*(September!$E$42:$E$91))</f>
        <v>0</v>
      </c>
      <c r="L38" s="15">
        <f>SUMPRODUCT((Oktober!$B$42:$B$91="Freizeit")*(Oktober!$C$42:$C$91="Sonstiges")*(Oktober!$E$42:$E$91))</f>
        <v>0</v>
      </c>
      <c r="M38" s="15">
        <f>SUMPRODUCT((November!$B$42:$B$91="Freizeit")*(November!$C$42:$C$91="Sonstiges")*(November!$E$42:$E$91))</f>
        <v>0</v>
      </c>
      <c r="N38" s="15">
        <f>SUMPRODUCT((Dezember!$B$42:$B$91="Freizeit")*(Dezember!$C$42:$C$91="Sonstiges")*(Dezember!$E$42:$E$91))</f>
        <v>0</v>
      </c>
      <c r="O38" s="16">
        <f>SUM(C38:N38)</f>
        <v>0</v>
      </c>
    </row>
    <row r="39" spans="1:15">
      <c r="A39" s="19" t="s">
        <v>12</v>
      </c>
      <c r="B39" s="20" t="s">
        <v>54</v>
      </c>
      <c r="C39" s="21">
        <f>SUM(C35:C38)</f>
        <v>0</v>
      </c>
      <c r="D39" s="21">
        <f>SUM(D35:D38)</f>
        <v>0</v>
      </c>
      <c r="E39" s="21">
        <f>SUM(E35:E38)</f>
        <v>0</v>
      </c>
      <c r="F39" s="21">
        <f>SUM(F35:F38)</f>
        <v>0</v>
      </c>
      <c r="G39" s="21">
        <f>SUM(G35:G38)</f>
        <v>0</v>
      </c>
      <c r="H39" s="21">
        <f>SUM(H35:H38)</f>
        <v>0</v>
      </c>
      <c r="I39" s="21">
        <f>SUM(I35:I38)</f>
        <v>0</v>
      </c>
      <c r="J39" s="21">
        <f>SUM(J35:J38)</f>
        <v>0</v>
      </c>
      <c r="K39" s="21">
        <f>SUM(K35:K38)</f>
        <v>0</v>
      </c>
      <c r="L39" s="21">
        <f>SUM(L35:L38)</f>
        <v>0</v>
      </c>
      <c r="M39" s="21">
        <f>SUM(M35:M38)</f>
        <v>0</v>
      </c>
      <c r="N39" s="21">
        <f>SUM(N35:N38)</f>
        <v>0</v>
      </c>
      <c r="O39" s="21">
        <f>SUM(O35:O38)</f>
        <v>0</v>
      </c>
    </row>
    <row r="41" spans="1:15">
      <c r="A41" s="18" t="s">
        <v>14</v>
      </c>
      <c r="B41" s="18" t="s">
        <v>63</v>
      </c>
      <c r="C41" s="15">
        <f>SUMPRODUCT((Januar!$B$42:$B$91="Gesundheit")*(Januar!$C$42:$C$91="Arzt/Apotheke")*(Januar!$E$42:$E$91))</f>
        <v>0</v>
      </c>
      <c r="D41" s="15">
        <f>SUMPRODUCT((Februar!$B$42:$B$91="Gesundheit")*(Februar!$C$42:$C$91="Arzt/Apotheke")*(Februar!$E$42:$E$91))</f>
        <v>0</v>
      </c>
      <c r="E41" s="15">
        <f>SUMPRODUCT((März!$B$42:$B$91="Gesundheit")*(März!$C$42:$C$91="Arzt/Apotheke")*(März!$E$42:$E$91))</f>
        <v>0</v>
      </c>
      <c r="F41" s="15">
        <f>SUMPRODUCT((April!$B$42:$B$91="Gesundheit")*(April!$C$42:$C$91="Arzt/Apotheke")*(April!$E$42:$E$91))</f>
        <v>0</v>
      </c>
      <c r="G41" s="15">
        <f>SUMPRODUCT((Mai!$B$42:$B$91="Gesundheit")*(Mai!$C$42:$C$91="Arzt/Apotheke")*(Mai!$E$42:$E$91))</f>
        <v>0</v>
      </c>
      <c r="H41" s="15">
        <f>SUMPRODUCT((Juni!$B$42:$B$91="Gesundheit")*(Juni!$C$42:$C$91="Arzt/Apotheke")*(Juni!$E$42:$E$91))</f>
        <v>0</v>
      </c>
      <c r="I41" s="15">
        <f>SUMPRODUCT((Juli!$B$42:$B$91="Gesundheit")*(Juli!$C$42:$C$91="Arzt/Apotheke")*(Juli!$E$42:$E$91))</f>
        <v>0</v>
      </c>
      <c r="J41" s="15">
        <f>SUMPRODUCT((August!$B$42:$B$91="Gesundheit")*(August!$C$42:$C$91="Arzt/Apotheke")*(August!$E$42:$E$91))</f>
        <v>0</v>
      </c>
      <c r="K41" s="15">
        <f>SUMPRODUCT((September!$B$42:$B$91="Gesundheit")*(September!$C$42:$C$91="Arzt/Apotheke")*(September!$E$42:$E$91))</f>
        <v>0</v>
      </c>
      <c r="L41" s="15">
        <f>SUMPRODUCT((Oktober!$B$42:$B$91="Gesundheit")*(Oktober!$C$42:$C$91="Arzt/Apotheke")*(Oktober!$E$42:$E$91))</f>
        <v>0</v>
      </c>
      <c r="M41" s="15">
        <f>SUMPRODUCT((November!$B$42:$B$91="Gesundheit")*(November!$C$42:$C$91="Arzt/Apotheke")*(November!$E$42:$E$91))</f>
        <v>0</v>
      </c>
      <c r="N41" s="15">
        <f>SUMPRODUCT((Dezember!$B$42:$B$91="Gesundheit")*(Dezember!$C$42:$C$91="Arzt/Apotheke")*(Dezember!$E$42:$E$91))</f>
        <v>0</v>
      </c>
      <c r="O41" s="16">
        <f>SUM(C41:N41)</f>
        <v>0</v>
      </c>
    </row>
    <row r="42" spans="1:15">
      <c r="A42" s="18" t="s">
        <v>14</v>
      </c>
      <c r="B42" s="18" t="s">
        <v>64</v>
      </c>
      <c r="C42" s="15">
        <f>SUMPRODUCT((Januar!$B$42:$B$91="Gesundheit")*(Januar!$C$42:$C$91="Fitness/Sport")*(Januar!$E$42:$E$91))</f>
        <v>0</v>
      </c>
      <c r="D42" s="15">
        <f>SUMPRODUCT((Februar!$B$42:$B$91="Gesundheit")*(Februar!$C$42:$C$91="Fitness/Sport")*(Februar!$E$42:$E$91))</f>
        <v>0</v>
      </c>
      <c r="E42" s="15">
        <f>SUMPRODUCT((März!$B$42:$B$91="Gesundheit")*(März!$C$42:$C$91="Fitness/Sport")*(März!$E$42:$E$91))</f>
        <v>0</v>
      </c>
      <c r="F42" s="15">
        <f>SUMPRODUCT((April!$B$42:$B$91="Gesundheit")*(April!$C$42:$C$91="Fitness/Sport")*(April!$E$42:$E$91))</f>
        <v>0</v>
      </c>
      <c r="G42" s="15">
        <f>SUMPRODUCT((Mai!$B$42:$B$91="Gesundheit")*(Mai!$C$42:$C$91="Fitness/Sport")*(Mai!$E$42:$E$91))</f>
        <v>0</v>
      </c>
      <c r="H42" s="15">
        <f>SUMPRODUCT((Juni!$B$42:$B$91="Gesundheit")*(Juni!$C$42:$C$91="Fitness/Sport")*(Juni!$E$42:$E$91))</f>
        <v>0</v>
      </c>
      <c r="I42" s="15">
        <f>SUMPRODUCT((Juli!$B$42:$B$91="Gesundheit")*(Juli!$C$42:$C$91="Fitness/Sport")*(Juli!$E$42:$E$91))</f>
        <v>0</v>
      </c>
      <c r="J42" s="15">
        <f>SUMPRODUCT((August!$B$42:$B$91="Gesundheit")*(August!$C$42:$C$91="Fitness/Sport")*(August!$E$42:$E$91))</f>
        <v>0</v>
      </c>
      <c r="K42" s="15">
        <f>SUMPRODUCT((September!$B$42:$B$91="Gesundheit")*(September!$C$42:$C$91="Fitness/Sport")*(September!$E$42:$E$91))</f>
        <v>0</v>
      </c>
      <c r="L42" s="15">
        <f>SUMPRODUCT((Oktober!$B$42:$B$91="Gesundheit")*(Oktober!$C$42:$C$91="Fitness/Sport")*(Oktober!$E$42:$E$91))</f>
        <v>0</v>
      </c>
      <c r="M42" s="15">
        <f>SUMPRODUCT((November!$B$42:$B$91="Gesundheit")*(November!$C$42:$C$91="Fitness/Sport")*(November!$E$42:$E$91))</f>
        <v>0</v>
      </c>
      <c r="N42" s="15">
        <f>SUMPRODUCT((Dezember!$B$42:$B$91="Gesundheit")*(Dezember!$C$42:$C$91="Fitness/Sport")*(Dezember!$E$42:$E$91))</f>
        <v>0</v>
      </c>
      <c r="O42" s="16">
        <f>SUM(C42:N42)</f>
        <v>0</v>
      </c>
    </row>
    <row r="43" spans="1:15">
      <c r="A43" s="18" t="s">
        <v>14</v>
      </c>
      <c r="B43" s="18" t="s">
        <v>65</v>
      </c>
      <c r="C43" s="15">
        <f>SUMPRODUCT((Januar!$B$42:$B$91="Gesundheit")*(Januar!$C$42:$C$91="Medikamente")*(Januar!$E$42:$E$91))</f>
        <v>0</v>
      </c>
      <c r="D43" s="15">
        <f>SUMPRODUCT((Februar!$B$42:$B$91="Gesundheit")*(Februar!$C$42:$C$91="Medikamente")*(Februar!$E$42:$E$91))</f>
        <v>0</v>
      </c>
      <c r="E43" s="15">
        <f>SUMPRODUCT((März!$B$42:$B$91="Gesundheit")*(März!$C$42:$C$91="Medikamente")*(März!$E$42:$E$91))</f>
        <v>0</v>
      </c>
      <c r="F43" s="15">
        <f>SUMPRODUCT((April!$B$42:$B$91="Gesundheit")*(April!$C$42:$C$91="Medikamente")*(April!$E$42:$E$91))</f>
        <v>0</v>
      </c>
      <c r="G43" s="15">
        <f>SUMPRODUCT((Mai!$B$42:$B$91="Gesundheit")*(Mai!$C$42:$C$91="Medikamente")*(Mai!$E$42:$E$91))</f>
        <v>0</v>
      </c>
      <c r="H43" s="15">
        <f>SUMPRODUCT((Juni!$B$42:$B$91="Gesundheit")*(Juni!$C$42:$C$91="Medikamente")*(Juni!$E$42:$E$91))</f>
        <v>0</v>
      </c>
      <c r="I43" s="15">
        <f>SUMPRODUCT((Juli!$B$42:$B$91="Gesundheit")*(Juli!$C$42:$C$91="Medikamente")*(Juli!$E$42:$E$91))</f>
        <v>0</v>
      </c>
      <c r="J43" s="15">
        <f>SUMPRODUCT((August!$B$42:$B$91="Gesundheit")*(August!$C$42:$C$91="Medikamente")*(August!$E$42:$E$91))</f>
        <v>0</v>
      </c>
      <c r="K43" s="15">
        <f>SUMPRODUCT((September!$B$42:$B$91="Gesundheit")*(September!$C$42:$C$91="Medikamente")*(September!$E$42:$E$91))</f>
        <v>0</v>
      </c>
      <c r="L43" s="15">
        <f>SUMPRODUCT((Oktober!$B$42:$B$91="Gesundheit")*(Oktober!$C$42:$C$91="Medikamente")*(Oktober!$E$42:$E$91))</f>
        <v>0</v>
      </c>
      <c r="M43" s="15">
        <f>SUMPRODUCT((November!$B$42:$B$91="Gesundheit")*(November!$C$42:$C$91="Medikamente")*(November!$E$42:$E$91))</f>
        <v>0</v>
      </c>
      <c r="N43" s="15">
        <f>SUMPRODUCT((Dezember!$B$42:$B$91="Gesundheit")*(Dezember!$C$42:$C$91="Medikamente")*(Dezember!$E$42:$E$91))</f>
        <v>0</v>
      </c>
      <c r="O43" s="16">
        <f>SUM(C43:N43)</f>
        <v>0</v>
      </c>
    </row>
    <row r="44" spans="1:15">
      <c r="A44" s="18" t="s">
        <v>14</v>
      </c>
      <c r="B44" s="18" t="s">
        <v>53</v>
      </c>
      <c r="C44" s="15">
        <f>SUMPRODUCT((Januar!$B$42:$B$91="Gesundheit")*(Januar!$C$42:$C$91="Sonstiges")*(Januar!$E$42:$E$91))</f>
        <v>0</v>
      </c>
      <c r="D44" s="15">
        <f>SUMPRODUCT((Februar!$B$42:$B$91="Gesundheit")*(Februar!$C$42:$C$91="Sonstiges")*(Februar!$E$42:$E$91))</f>
        <v>0</v>
      </c>
      <c r="E44" s="15">
        <f>SUMPRODUCT((März!$B$42:$B$91="Gesundheit")*(März!$C$42:$C$91="Sonstiges")*(März!$E$42:$E$91))</f>
        <v>0</v>
      </c>
      <c r="F44" s="15">
        <f>SUMPRODUCT((April!$B$42:$B$91="Gesundheit")*(April!$C$42:$C$91="Sonstiges")*(April!$E$42:$E$91))</f>
        <v>0</v>
      </c>
      <c r="G44" s="15">
        <f>SUMPRODUCT((Mai!$B$42:$B$91="Gesundheit")*(Mai!$C$42:$C$91="Sonstiges")*(Mai!$E$42:$E$91))</f>
        <v>0</v>
      </c>
      <c r="H44" s="15">
        <f>SUMPRODUCT((Juni!$B$42:$B$91="Gesundheit")*(Juni!$C$42:$C$91="Sonstiges")*(Juni!$E$42:$E$91))</f>
        <v>0</v>
      </c>
      <c r="I44" s="15">
        <f>SUMPRODUCT((Juli!$B$42:$B$91="Gesundheit")*(Juli!$C$42:$C$91="Sonstiges")*(Juli!$E$42:$E$91))</f>
        <v>0</v>
      </c>
      <c r="J44" s="15">
        <f>SUMPRODUCT((August!$B$42:$B$91="Gesundheit")*(August!$C$42:$C$91="Sonstiges")*(August!$E$42:$E$91))</f>
        <v>0</v>
      </c>
      <c r="K44" s="15">
        <f>SUMPRODUCT((September!$B$42:$B$91="Gesundheit")*(September!$C$42:$C$91="Sonstiges")*(September!$E$42:$E$91))</f>
        <v>0</v>
      </c>
      <c r="L44" s="15">
        <f>SUMPRODUCT((Oktober!$B$42:$B$91="Gesundheit")*(Oktober!$C$42:$C$91="Sonstiges")*(Oktober!$E$42:$E$91))</f>
        <v>0</v>
      </c>
      <c r="M44" s="15">
        <f>SUMPRODUCT((November!$B$42:$B$91="Gesundheit")*(November!$C$42:$C$91="Sonstiges")*(November!$E$42:$E$91))</f>
        <v>0</v>
      </c>
      <c r="N44" s="15">
        <f>SUMPRODUCT((Dezember!$B$42:$B$91="Gesundheit")*(Dezember!$C$42:$C$91="Sonstiges")*(Dezember!$E$42:$E$91))</f>
        <v>0</v>
      </c>
      <c r="O44" s="16">
        <f>SUM(C44:N44)</f>
        <v>0</v>
      </c>
    </row>
    <row r="45" spans="1:15">
      <c r="A45" s="19" t="s">
        <v>14</v>
      </c>
      <c r="B45" s="20" t="s">
        <v>54</v>
      </c>
      <c r="C45" s="21">
        <f>SUM(C41:C44)</f>
        <v>0</v>
      </c>
      <c r="D45" s="21">
        <f>SUM(D41:D44)</f>
        <v>0</v>
      </c>
      <c r="E45" s="21">
        <f>SUM(E41:E44)</f>
        <v>0</v>
      </c>
      <c r="F45" s="21">
        <f>SUM(F41:F44)</f>
        <v>0</v>
      </c>
      <c r="G45" s="21">
        <f>SUM(G41:G44)</f>
        <v>0</v>
      </c>
      <c r="H45" s="21">
        <f>SUM(H41:H44)</f>
        <v>0</v>
      </c>
      <c r="I45" s="21">
        <f>SUM(I41:I44)</f>
        <v>0</v>
      </c>
      <c r="J45" s="21">
        <f>SUM(J41:J44)</f>
        <v>0</v>
      </c>
      <c r="K45" s="21">
        <f>SUM(K41:K44)</f>
        <v>0</v>
      </c>
      <c r="L45" s="21">
        <f>SUM(L41:L44)</f>
        <v>0</v>
      </c>
      <c r="M45" s="21">
        <f>SUM(M41:M44)</f>
        <v>0</v>
      </c>
      <c r="N45" s="21">
        <f>SUM(N41:N44)</f>
        <v>0</v>
      </c>
      <c r="O45" s="21">
        <f>SUM(O41:O44)</f>
        <v>0</v>
      </c>
    </row>
    <row r="47" spans="1:15">
      <c r="A47" s="18" t="s">
        <v>16</v>
      </c>
      <c r="B47" s="18" t="s">
        <v>16</v>
      </c>
      <c r="C47" s="15">
        <f>SUMPRODUCT((Januar!$B$42:$B$91="Kleidung")*(Januar!$C$42:$C$91="Kleidung")*(Januar!$E$42:$E$91))</f>
        <v>0</v>
      </c>
      <c r="D47" s="15">
        <f>SUMPRODUCT((Februar!$B$42:$B$91="Kleidung")*(Februar!$C$42:$C$91="Kleidung")*(Februar!$E$42:$E$91))</f>
        <v>0</v>
      </c>
      <c r="E47" s="15">
        <f>SUMPRODUCT((März!$B$42:$B$91="Kleidung")*(März!$C$42:$C$91="Kleidung")*(März!$E$42:$E$91))</f>
        <v>0</v>
      </c>
      <c r="F47" s="15">
        <f>SUMPRODUCT((April!$B$42:$B$91="Kleidung")*(April!$C$42:$C$91="Kleidung")*(April!$E$42:$E$91))</f>
        <v>0</v>
      </c>
      <c r="G47" s="15">
        <f>SUMPRODUCT((Mai!$B$42:$B$91="Kleidung")*(Mai!$C$42:$C$91="Kleidung")*(Mai!$E$42:$E$91))</f>
        <v>0</v>
      </c>
      <c r="H47" s="15">
        <f>SUMPRODUCT((Juni!$B$42:$B$91="Kleidung")*(Juni!$C$42:$C$91="Kleidung")*(Juni!$E$42:$E$91))</f>
        <v>0</v>
      </c>
      <c r="I47" s="15">
        <f>SUMPRODUCT((Juli!$B$42:$B$91="Kleidung")*(Juli!$C$42:$C$91="Kleidung")*(Juli!$E$42:$E$91))</f>
        <v>0</v>
      </c>
      <c r="J47" s="15">
        <f>SUMPRODUCT((August!$B$42:$B$91="Kleidung")*(August!$C$42:$C$91="Kleidung")*(August!$E$42:$E$91))</f>
        <v>0</v>
      </c>
      <c r="K47" s="15">
        <f>SUMPRODUCT((September!$B$42:$B$91="Kleidung")*(September!$C$42:$C$91="Kleidung")*(September!$E$42:$E$91))</f>
        <v>0</v>
      </c>
      <c r="L47" s="15">
        <f>SUMPRODUCT((Oktober!$B$42:$B$91="Kleidung")*(Oktober!$C$42:$C$91="Kleidung")*(Oktober!$E$42:$E$91))</f>
        <v>0</v>
      </c>
      <c r="M47" s="15">
        <f>SUMPRODUCT((November!$B$42:$B$91="Kleidung")*(November!$C$42:$C$91="Kleidung")*(November!$E$42:$E$91))</f>
        <v>0</v>
      </c>
      <c r="N47" s="15">
        <f>SUMPRODUCT((Dezember!$B$42:$B$91="Kleidung")*(Dezember!$C$42:$C$91="Kleidung")*(Dezember!$E$42:$E$91))</f>
        <v>0</v>
      </c>
      <c r="O47" s="16">
        <f>SUM(C47:N47)</f>
        <v>0</v>
      </c>
    </row>
    <row r="48" spans="1:15">
      <c r="A48" s="18" t="s">
        <v>16</v>
      </c>
      <c r="B48" s="18" t="s">
        <v>66</v>
      </c>
      <c r="C48" s="15">
        <f>SUMPRODUCT((Januar!$B$42:$B$91="Kleidung")*(Januar!$C$42:$C$91="Schuhe")*(Januar!$E$42:$E$91))</f>
        <v>0</v>
      </c>
      <c r="D48" s="15">
        <f>SUMPRODUCT((Februar!$B$42:$B$91="Kleidung")*(Februar!$C$42:$C$91="Schuhe")*(Februar!$E$42:$E$91))</f>
        <v>0</v>
      </c>
      <c r="E48" s="15">
        <f>SUMPRODUCT((März!$B$42:$B$91="Kleidung")*(März!$C$42:$C$91="Schuhe")*(März!$E$42:$E$91))</f>
        <v>0</v>
      </c>
      <c r="F48" s="15">
        <f>SUMPRODUCT((April!$B$42:$B$91="Kleidung")*(April!$C$42:$C$91="Schuhe")*(April!$E$42:$E$91))</f>
        <v>0</v>
      </c>
      <c r="G48" s="15">
        <f>SUMPRODUCT((Mai!$B$42:$B$91="Kleidung")*(Mai!$C$42:$C$91="Schuhe")*(Mai!$E$42:$E$91))</f>
        <v>0</v>
      </c>
      <c r="H48" s="15">
        <f>SUMPRODUCT((Juni!$B$42:$B$91="Kleidung")*(Juni!$C$42:$C$91="Schuhe")*(Juni!$E$42:$E$91))</f>
        <v>0</v>
      </c>
      <c r="I48" s="15">
        <f>SUMPRODUCT((Juli!$B$42:$B$91="Kleidung")*(Juli!$C$42:$C$91="Schuhe")*(Juli!$E$42:$E$91))</f>
        <v>0</v>
      </c>
      <c r="J48" s="15">
        <f>SUMPRODUCT((August!$B$42:$B$91="Kleidung")*(August!$C$42:$C$91="Schuhe")*(August!$E$42:$E$91))</f>
        <v>0</v>
      </c>
      <c r="K48" s="15">
        <f>SUMPRODUCT((September!$B$42:$B$91="Kleidung")*(September!$C$42:$C$91="Schuhe")*(September!$E$42:$E$91))</f>
        <v>0</v>
      </c>
      <c r="L48" s="15">
        <f>SUMPRODUCT((Oktober!$B$42:$B$91="Kleidung")*(Oktober!$C$42:$C$91="Schuhe")*(Oktober!$E$42:$E$91))</f>
        <v>0</v>
      </c>
      <c r="M48" s="15">
        <f>SUMPRODUCT((November!$B$42:$B$91="Kleidung")*(November!$C$42:$C$91="Schuhe")*(November!$E$42:$E$91))</f>
        <v>0</v>
      </c>
      <c r="N48" s="15">
        <f>SUMPRODUCT((Dezember!$B$42:$B$91="Kleidung")*(Dezember!$C$42:$C$91="Schuhe")*(Dezember!$E$42:$E$91))</f>
        <v>0</v>
      </c>
      <c r="O48" s="16">
        <f>SUM(C48:N48)</f>
        <v>0</v>
      </c>
    </row>
    <row r="49" spans="1:15">
      <c r="A49" s="18" t="s">
        <v>16</v>
      </c>
      <c r="B49" s="18" t="s">
        <v>67</v>
      </c>
      <c r="C49" s="15">
        <f>SUMPRODUCT((Januar!$B$42:$B$91="Kleidung")*(Januar!$C$42:$C$91="Accessoires")*(Januar!$E$42:$E$91))</f>
        <v>0</v>
      </c>
      <c r="D49" s="15">
        <f>SUMPRODUCT((Februar!$B$42:$B$91="Kleidung")*(Februar!$C$42:$C$91="Accessoires")*(Februar!$E$42:$E$91))</f>
        <v>0</v>
      </c>
      <c r="E49" s="15">
        <f>SUMPRODUCT((März!$B$42:$B$91="Kleidung")*(März!$C$42:$C$91="Accessoires")*(März!$E$42:$E$91))</f>
        <v>0</v>
      </c>
      <c r="F49" s="15">
        <f>SUMPRODUCT((April!$B$42:$B$91="Kleidung")*(April!$C$42:$C$91="Accessoires")*(April!$E$42:$E$91))</f>
        <v>0</v>
      </c>
      <c r="G49" s="15">
        <f>SUMPRODUCT((Mai!$B$42:$B$91="Kleidung")*(Mai!$C$42:$C$91="Accessoires")*(Mai!$E$42:$E$91))</f>
        <v>0</v>
      </c>
      <c r="H49" s="15">
        <f>SUMPRODUCT((Juni!$B$42:$B$91="Kleidung")*(Juni!$C$42:$C$91="Accessoires")*(Juni!$E$42:$E$91))</f>
        <v>0</v>
      </c>
      <c r="I49" s="15">
        <f>SUMPRODUCT((Juli!$B$42:$B$91="Kleidung")*(Juli!$C$42:$C$91="Accessoires")*(Juli!$E$42:$E$91))</f>
        <v>0</v>
      </c>
      <c r="J49" s="15">
        <f>SUMPRODUCT((August!$B$42:$B$91="Kleidung")*(August!$C$42:$C$91="Accessoires")*(August!$E$42:$E$91))</f>
        <v>0</v>
      </c>
      <c r="K49" s="15">
        <f>SUMPRODUCT((September!$B$42:$B$91="Kleidung")*(September!$C$42:$C$91="Accessoires")*(September!$E$42:$E$91))</f>
        <v>0</v>
      </c>
      <c r="L49" s="15">
        <f>SUMPRODUCT((Oktober!$B$42:$B$91="Kleidung")*(Oktober!$C$42:$C$91="Accessoires")*(Oktober!$E$42:$E$91))</f>
        <v>0</v>
      </c>
      <c r="M49" s="15">
        <f>SUMPRODUCT((November!$B$42:$B$91="Kleidung")*(November!$C$42:$C$91="Accessoires")*(November!$E$42:$E$91))</f>
        <v>0</v>
      </c>
      <c r="N49" s="15">
        <f>SUMPRODUCT((Dezember!$B$42:$B$91="Kleidung")*(Dezember!$C$42:$C$91="Accessoires")*(Dezember!$E$42:$E$91))</f>
        <v>0</v>
      </c>
      <c r="O49" s="16">
        <f>SUM(C49:N49)</f>
        <v>0</v>
      </c>
    </row>
    <row r="50" spans="1:15">
      <c r="A50" s="18" t="s">
        <v>16</v>
      </c>
      <c r="B50" s="18" t="s">
        <v>53</v>
      </c>
      <c r="C50" s="15">
        <f>SUMPRODUCT((Januar!$B$42:$B$91="Kleidung")*(Januar!$C$42:$C$91="Sonstiges")*(Januar!$E$42:$E$91))</f>
        <v>0</v>
      </c>
      <c r="D50" s="15">
        <f>SUMPRODUCT((Februar!$B$42:$B$91="Kleidung")*(Februar!$C$42:$C$91="Sonstiges")*(Februar!$E$42:$E$91))</f>
        <v>0</v>
      </c>
      <c r="E50" s="15">
        <f>SUMPRODUCT((März!$B$42:$B$91="Kleidung")*(März!$C$42:$C$91="Sonstiges")*(März!$E$42:$E$91))</f>
        <v>0</v>
      </c>
      <c r="F50" s="15">
        <f>SUMPRODUCT((April!$B$42:$B$91="Kleidung")*(April!$C$42:$C$91="Sonstiges")*(April!$E$42:$E$91))</f>
        <v>0</v>
      </c>
      <c r="G50" s="15">
        <f>SUMPRODUCT((Mai!$B$42:$B$91="Kleidung")*(Mai!$C$42:$C$91="Sonstiges")*(Mai!$E$42:$E$91))</f>
        <v>0</v>
      </c>
      <c r="H50" s="15">
        <f>SUMPRODUCT((Juni!$B$42:$B$91="Kleidung")*(Juni!$C$42:$C$91="Sonstiges")*(Juni!$E$42:$E$91))</f>
        <v>0</v>
      </c>
      <c r="I50" s="15">
        <f>SUMPRODUCT((Juli!$B$42:$B$91="Kleidung")*(Juli!$C$42:$C$91="Sonstiges")*(Juli!$E$42:$E$91))</f>
        <v>0</v>
      </c>
      <c r="J50" s="15">
        <f>SUMPRODUCT((August!$B$42:$B$91="Kleidung")*(August!$C$42:$C$91="Sonstiges")*(August!$E$42:$E$91))</f>
        <v>0</v>
      </c>
      <c r="K50" s="15">
        <f>SUMPRODUCT((September!$B$42:$B$91="Kleidung")*(September!$C$42:$C$91="Sonstiges")*(September!$E$42:$E$91))</f>
        <v>0</v>
      </c>
      <c r="L50" s="15">
        <f>SUMPRODUCT((Oktober!$B$42:$B$91="Kleidung")*(Oktober!$C$42:$C$91="Sonstiges")*(Oktober!$E$42:$E$91))</f>
        <v>0</v>
      </c>
      <c r="M50" s="15">
        <f>SUMPRODUCT((November!$B$42:$B$91="Kleidung")*(November!$C$42:$C$91="Sonstiges")*(November!$E$42:$E$91))</f>
        <v>0</v>
      </c>
      <c r="N50" s="15">
        <f>SUMPRODUCT((Dezember!$B$42:$B$91="Kleidung")*(Dezember!$C$42:$C$91="Sonstiges")*(Dezember!$E$42:$E$91))</f>
        <v>0</v>
      </c>
      <c r="O50" s="16">
        <f>SUM(C50:N50)</f>
        <v>0</v>
      </c>
    </row>
    <row r="51" spans="1:15">
      <c r="A51" s="19" t="s">
        <v>16</v>
      </c>
      <c r="B51" s="20" t="s">
        <v>54</v>
      </c>
      <c r="C51" s="21">
        <f>SUM(C47:C50)</f>
        <v>0</v>
      </c>
      <c r="D51" s="21">
        <f>SUM(D47:D50)</f>
        <v>0</v>
      </c>
      <c r="E51" s="21">
        <f>SUM(E47:E50)</f>
        <v>0</v>
      </c>
      <c r="F51" s="21">
        <f>SUM(F47:F50)</f>
        <v>0</v>
      </c>
      <c r="G51" s="21">
        <f>SUM(G47:G50)</f>
        <v>0</v>
      </c>
      <c r="H51" s="21">
        <f>SUM(H47:H50)</f>
        <v>0</v>
      </c>
      <c r="I51" s="21">
        <f>SUM(I47:I50)</f>
        <v>0</v>
      </c>
      <c r="J51" s="21">
        <f>SUM(J47:J50)</f>
        <v>0</v>
      </c>
      <c r="K51" s="21">
        <f>SUM(K47:K50)</f>
        <v>0</v>
      </c>
      <c r="L51" s="21">
        <f>SUM(L47:L50)</f>
        <v>0</v>
      </c>
      <c r="M51" s="21">
        <f>SUM(M47:M50)</f>
        <v>0</v>
      </c>
      <c r="N51" s="21">
        <f>SUM(N47:N50)</f>
        <v>0</v>
      </c>
      <c r="O51" s="21">
        <f>SUM(O47:O50)</f>
        <v>0</v>
      </c>
    </row>
    <row r="53" spans="1:15">
      <c r="A53" s="18" t="s">
        <v>18</v>
      </c>
      <c r="B53" s="18" t="s">
        <v>18</v>
      </c>
      <c r="C53" s="15">
        <f>SUMPRODUCT((Januar!$B$42:$B$91="Restaurant")*(Januar!$C$42:$C$91="Restaurant")*(Januar!$E$42:$E$91))</f>
        <v>0</v>
      </c>
      <c r="D53" s="15">
        <f>SUMPRODUCT((Februar!$B$42:$B$91="Restaurant")*(Februar!$C$42:$C$91="Restaurant")*(Februar!$E$42:$E$91))</f>
        <v>0</v>
      </c>
      <c r="E53" s="15">
        <f>SUMPRODUCT((März!$B$42:$B$91="Restaurant")*(März!$C$42:$C$91="Restaurant")*(März!$E$42:$E$91))</f>
        <v>0</v>
      </c>
      <c r="F53" s="15">
        <f>SUMPRODUCT((April!$B$42:$B$91="Restaurant")*(April!$C$42:$C$91="Restaurant")*(April!$E$42:$E$91))</f>
        <v>0</v>
      </c>
      <c r="G53" s="15">
        <f>SUMPRODUCT((Mai!$B$42:$B$91="Restaurant")*(Mai!$C$42:$C$91="Restaurant")*(Mai!$E$42:$E$91))</f>
        <v>0</v>
      </c>
      <c r="H53" s="15">
        <f>SUMPRODUCT((Juni!$B$42:$B$91="Restaurant")*(Juni!$C$42:$C$91="Restaurant")*(Juni!$E$42:$E$91))</f>
        <v>0</v>
      </c>
      <c r="I53" s="15">
        <f>SUMPRODUCT((Juli!$B$42:$B$91="Restaurant")*(Juli!$C$42:$C$91="Restaurant")*(Juli!$E$42:$E$91))</f>
        <v>0</v>
      </c>
      <c r="J53" s="15">
        <f>SUMPRODUCT((August!$B$42:$B$91="Restaurant")*(August!$C$42:$C$91="Restaurant")*(August!$E$42:$E$91))</f>
        <v>0</v>
      </c>
      <c r="K53" s="15">
        <f>SUMPRODUCT((September!$B$42:$B$91="Restaurant")*(September!$C$42:$C$91="Restaurant")*(September!$E$42:$E$91))</f>
        <v>0</v>
      </c>
      <c r="L53" s="15">
        <f>SUMPRODUCT((Oktober!$B$42:$B$91="Restaurant")*(Oktober!$C$42:$C$91="Restaurant")*(Oktober!$E$42:$E$91))</f>
        <v>0</v>
      </c>
      <c r="M53" s="15">
        <f>SUMPRODUCT((November!$B$42:$B$91="Restaurant")*(November!$C$42:$C$91="Restaurant")*(November!$E$42:$E$91))</f>
        <v>0</v>
      </c>
      <c r="N53" s="15">
        <f>SUMPRODUCT((Dezember!$B$42:$B$91="Restaurant")*(Dezember!$C$42:$C$91="Restaurant")*(Dezember!$E$42:$E$91))</f>
        <v>0</v>
      </c>
      <c r="O53" s="16">
        <f>SUM(C53:N53)</f>
        <v>0</v>
      </c>
    </row>
    <row r="54" spans="1:15">
      <c r="A54" s="18" t="s">
        <v>18</v>
      </c>
      <c r="B54" s="18" t="s">
        <v>68</v>
      </c>
      <c r="C54" s="15">
        <f>SUMPRODUCT((Januar!$B$42:$B$91="Restaurant")*(Januar!$C$42:$C$91="Café")*(Januar!$E$42:$E$91))</f>
        <v>0</v>
      </c>
      <c r="D54" s="15">
        <f>SUMPRODUCT((Februar!$B$42:$B$91="Restaurant")*(Februar!$C$42:$C$91="Café")*(Februar!$E$42:$E$91))</f>
        <v>0</v>
      </c>
      <c r="E54" s="15">
        <f>SUMPRODUCT((März!$B$42:$B$91="Restaurant")*(März!$C$42:$C$91="Café")*(März!$E$42:$E$91))</f>
        <v>0</v>
      </c>
      <c r="F54" s="15">
        <f>SUMPRODUCT((April!$B$42:$B$91="Restaurant")*(April!$C$42:$C$91="Café")*(April!$E$42:$E$91))</f>
        <v>0</v>
      </c>
      <c r="G54" s="15">
        <f>SUMPRODUCT((Mai!$B$42:$B$91="Restaurant")*(Mai!$C$42:$C$91="Café")*(Mai!$E$42:$E$91))</f>
        <v>0</v>
      </c>
      <c r="H54" s="15">
        <f>SUMPRODUCT((Juni!$B$42:$B$91="Restaurant")*(Juni!$C$42:$C$91="Café")*(Juni!$E$42:$E$91))</f>
        <v>0</v>
      </c>
      <c r="I54" s="15">
        <f>SUMPRODUCT((Juli!$B$42:$B$91="Restaurant")*(Juli!$C$42:$C$91="Café")*(Juli!$E$42:$E$91))</f>
        <v>0</v>
      </c>
      <c r="J54" s="15">
        <f>SUMPRODUCT((August!$B$42:$B$91="Restaurant")*(August!$C$42:$C$91="Café")*(August!$E$42:$E$91))</f>
        <v>0</v>
      </c>
      <c r="K54" s="15">
        <f>SUMPRODUCT((September!$B$42:$B$91="Restaurant")*(September!$C$42:$C$91="Café")*(September!$E$42:$E$91))</f>
        <v>0</v>
      </c>
      <c r="L54" s="15">
        <f>SUMPRODUCT((Oktober!$B$42:$B$91="Restaurant")*(Oktober!$C$42:$C$91="Café")*(Oktober!$E$42:$E$91))</f>
        <v>0</v>
      </c>
      <c r="M54" s="15">
        <f>SUMPRODUCT((November!$B$42:$B$91="Restaurant")*(November!$C$42:$C$91="Café")*(November!$E$42:$E$91))</f>
        <v>0</v>
      </c>
      <c r="N54" s="15">
        <f>SUMPRODUCT((Dezember!$B$42:$B$91="Restaurant")*(Dezember!$C$42:$C$91="Café")*(Dezember!$E$42:$E$91))</f>
        <v>0</v>
      </c>
      <c r="O54" s="16">
        <f>SUM(C54:N54)</f>
        <v>0</v>
      </c>
    </row>
    <row r="55" spans="1:15">
      <c r="A55" s="18" t="s">
        <v>18</v>
      </c>
      <c r="B55" s="18" t="s">
        <v>69</v>
      </c>
      <c r="C55" s="15">
        <f>SUMPRODUCT((Januar!$B$42:$B$91="Restaurant")*(Januar!$C$42:$C$91="Lieferservice")*(Januar!$E$42:$E$91))</f>
        <v>0</v>
      </c>
      <c r="D55" s="15">
        <f>SUMPRODUCT((Februar!$B$42:$B$91="Restaurant")*(Februar!$C$42:$C$91="Lieferservice")*(Februar!$E$42:$E$91))</f>
        <v>0</v>
      </c>
      <c r="E55" s="15">
        <f>SUMPRODUCT((März!$B$42:$B$91="Restaurant")*(März!$C$42:$C$91="Lieferservice")*(März!$E$42:$E$91))</f>
        <v>0</v>
      </c>
      <c r="F55" s="15">
        <f>SUMPRODUCT((April!$B$42:$B$91="Restaurant")*(April!$C$42:$C$91="Lieferservice")*(April!$E$42:$E$91))</f>
        <v>0</v>
      </c>
      <c r="G55" s="15">
        <f>SUMPRODUCT((Mai!$B$42:$B$91="Restaurant")*(Mai!$C$42:$C$91="Lieferservice")*(Mai!$E$42:$E$91))</f>
        <v>0</v>
      </c>
      <c r="H55" s="15">
        <f>SUMPRODUCT((Juni!$B$42:$B$91="Restaurant")*(Juni!$C$42:$C$91="Lieferservice")*(Juni!$E$42:$E$91))</f>
        <v>0</v>
      </c>
      <c r="I55" s="15">
        <f>SUMPRODUCT((Juli!$B$42:$B$91="Restaurant")*(Juli!$C$42:$C$91="Lieferservice")*(Juli!$E$42:$E$91))</f>
        <v>0</v>
      </c>
      <c r="J55" s="15">
        <f>SUMPRODUCT((August!$B$42:$B$91="Restaurant")*(August!$C$42:$C$91="Lieferservice")*(August!$E$42:$E$91))</f>
        <v>0</v>
      </c>
      <c r="K55" s="15">
        <f>SUMPRODUCT((September!$B$42:$B$91="Restaurant")*(September!$C$42:$C$91="Lieferservice")*(September!$E$42:$E$91))</f>
        <v>0</v>
      </c>
      <c r="L55" s="15">
        <f>SUMPRODUCT((Oktober!$B$42:$B$91="Restaurant")*(Oktober!$C$42:$C$91="Lieferservice")*(Oktober!$E$42:$E$91))</f>
        <v>0</v>
      </c>
      <c r="M55" s="15">
        <f>SUMPRODUCT((November!$B$42:$B$91="Restaurant")*(November!$C$42:$C$91="Lieferservice")*(November!$E$42:$E$91))</f>
        <v>0</v>
      </c>
      <c r="N55" s="15">
        <f>SUMPRODUCT((Dezember!$B$42:$B$91="Restaurant")*(Dezember!$C$42:$C$91="Lieferservice")*(Dezember!$E$42:$E$91))</f>
        <v>0</v>
      </c>
      <c r="O55" s="16">
        <f>SUM(C55:N55)</f>
        <v>0</v>
      </c>
    </row>
    <row r="56" spans="1:15">
      <c r="A56" s="18" t="s">
        <v>18</v>
      </c>
      <c r="B56" s="18" t="s">
        <v>53</v>
      </c>
      <c r="C56" s="15">
        <f>SUMPRODUCT((Januar!$B$42:$B$91="Restaurant")*(Januar!$C$42:$C$91="Sonstiges")*(Januar!$E$42:$E$91))</f>
        <v>0</v>
      </c>
      <c r="D56" s="15">
        <f>SUMPRODUCT((Februar!$B$42:$B$91="Restaurant")*(Februar!$C$42:$C$91="Sonstiges")*(Februar!$E$42:$E$91))</f>
        <v>0</v>
      </c>
      <c r="E56" s="15">
        <f>SUMPRODUCT((März!$B$42:$B$91="Restaurant")*(März!$C$42:$C$91="Sonstiges")*(März!$E$42:$E$91))</f>
        <v>0</v>
      </c>
      <c r="F56" s="15">
        <f>SUMPRODUCT((April!$B$42:$B$91="Restaurant")*(April!$C$42:$C$91="Sonstiges")*(April!$E$42:$E$91))</f>
        <v>0</v>
      </c>
      <c r="G56" s="15">
        <f>SUMPRODUCT((Mai!$B$42:$B$91="Restaurant")*(Mai!$C$42:$C$91="Sonstiges")*(Mai!$E$42:$E$91))</f>
        <v>0</v>
      </c>
      <c r="H56" s="15">
        <f>SUMPRODUCT((Juni!$B$42:$B$91="Restaurant")*(Juni!$C$42:$C$91="Sonstiges")*(Juni!$E$42:$E$91))</f>
        <v>0</v>
      </c>
      <c r="I56" s="15">
        <f>SUMPRODUCT((Juli!$B$42:$B$91="Restaurant")*(Juli!$C$42:$C$91="Sonstiges")*(Juli!$E$42:$E$91))</f>
        <v>0</v>
      </c>
      <c r="J56" s="15">
        <f>SUMPRODUCT((August!$B$42:$B$91="Restaurant")*(August!$C$42:$C$91="Sonstiges")*(August!$E$42:$E$91))</f>
        <v>0</v>
      </c>
      <c r="K56" s="15">
        <f>SUMPRODUCT((September!$B$42:$B$91="Restaurant")*(September!$C$42:$C$91="Sonstiges")*(September!$E$42:$E$91))</f>
        <v>0</v>
      </c>
      <c r="L56" s="15">
        <f>SUMPRODUCT((Oktober!$B$42:$B$91="Restaurant")*(Oktober!$C$42:$C$91="Sonstiges")*(Oktober!$E$42:$E$91))</f>
        <v>0</v>
      </c>
      <c r="M56" s="15">
        <f>SUMPRODUCT((November!$B$42:$B$91="Restaurant")*(November!$C$42:$C$91="Sonstiges")*(November!$E$42:$E$91))</f>
        <v>0</v>
      </c>
      <c r="N56" s="15">
        <f>SUMPRODUCT((Dezember!$B$42:$B$91="Restaurant")*(Dezember!$C$42:$C$91="Sonstiges")*(Dezember!$E$42:$E$91))</f>
        <v>0</v>
      </c>
      <c r="O56" s="16">
        <f>SUM(C56:N56)</f>
        <v>0</v>
      </c>
    </row>
    <row r="57" spans="1:15">
      <c r="A57" s="19" t="s">
        <v>18</v>
      </c>
      <c r="B57" s="20" t="s">
        <v>54</v>
      </c>
      <c r="C57" s="21">
        <f>SUM(C53:C56)</f>
        <v>0</v>
      </c>
      <c r="D57" s="21">
        <f>SUM(D53:D56)</f>
        <v>0</v>
      </c>
      <c r="E57" s="21">
        <f>SUM(E53:E56)</f>
        <v>0</v>
      </c>
      <c r="F57" s="21">
        <f>SUM(F53:F56)</f>
        <v>0</v>
      </c>
      <c r="G57" s="21">
        <f>SUM(G53:G56)</f>
        <v>0</v>
      </c>
      <c r="H57" s="21">
        <f>SUM(H53:H56)</f>
        <v>0</v>
      </c>
      <c r="I57" s="21">
        <f>SUM(I53:I56)</f>
        <v>0</v>
      </c>
      <c r="J57" s="21">
        <f>SUM(J53:J56)</f>
        <v>0</v>
      </c>
      <c r="K57" s="21">
        <f>SUM(K53:K56)</f>
        <v>0</v>
      </c>
      <c r="L57" s="21">
        <f>SUM(L53:L56)</f>
        <v>0</v>
      </c>
      <c r="M57" s="21">
        <f>SUM(M53:M56)</f>
        <v>0</v>
      </c>
      <c r="N57" s="21">
        <f>SUM(N53:N56)</f>
        <v>0</v>
      </c>
      <c r="O57" s="21">
        <f>SUM(O53:O56)</f>
        <v>0</v>
      </c>
    </row>
    <row r="59" spans="1:15">
      <c r="A59" s="18" t="s">
        <v>20</v>
      </c>
      <c r="B59" s="18" t="s">
        <v>70</v>
      </c>
      <c r="C59" s="15">
        <f>SUMPRODUCT((Januar!$B$42:$B$91="Versicherungen")*(Januar!$C$42:$C$91="Krankenversicherung")*(Januar!$E$42:$E$91))</f>
        <v>0</v>
      </c>
      <c r="D59" s="15">
        <f>SUMPRODUCT((Februar!$B$42:$B$91="Versicherungen")*(Februar!$C$42:$C$91="Krankenversicherung")*(Februar!$E$42:$E$91))</f>
        <v>0</v>
      </c>
      <c r="E59" s="15">
        <f>SUMPRODUCT((März!$B$42:$B$91="Versicherungen")*(März!$C$42:$C$91="Krankenversicherung")*(März!$E$42:$E$91))</f>
        <v>0</v>
      </c>
      <c r="F59" s="15">
        <f>SUMPRODUCT((April!$B$42:$B$91="Versicherungen")*(April!$C$42:$C$91="Krankenversicherung")*(April!$E$42:$E$91))</f>
        <v>0</v>
      </c>
      <c r="G59" s="15">
        <f>SUMPRODUCT((Mai!$B$42:$B$91="Versicherungen")*(Mai!$C$42:$C$91="Krankenversicherung")*(Mai!$E$42:$E$91))</f>
        <v>0</v>
      </c>
      <c r="H59" s="15">
        <f>SUMPRODUCT((Juni!$B$42:$B$91="Versicherungen")*(Juni!$C$42:$C$91="Krankenversicherung")*(Juni!$E$42:$E$91))</f>
        <v>0</v>
      </c>
      <c r="I59" s="15">
        <f>SUMPRODUCT((Juli!$B$42:$B$91="Versicherungen")*(Juli!$C$42:$C$91="Krankenversicherung")*(Juli!$E$42:$E$91))</f>
        <v>0</v>
      </c>
      <c r="J59" s="15">
        <f>SUMPRODUCT((August!$B$42:$B$91="Versicherungen")*(August!$C$42:$C$91="Krankenversicherung")*(August!$E$42:$E$91))</f>
        <v>0</v>
      </c>
      <c r="K59" s="15">
        <f>SUMPRODUCT((September!$B$42:$B$91="Versicherungen")*(September!$C$42:$C$91="Krankenversicherung")*(September!$E$42:$E$91))</f>
        <v>0</v>
      </c>
      <c r="L59" s="15">
        <f>SUMPRODUCT((Oktober!$B$42:$B$91="Versicherungen")*(Oktober!$C$42:$C$91="Krankenversicherung")*(Oktober!$E$42:$E$91))</f>
        <v>0</v>
      </c>
      <c r="M59" s="15">
        <f>SUMPRODUCT((November!$B$42:$B$91="Versicherungen")*(November!$C$42:$C$91="Krankenversicherung")*(November!$E$42:$E$91))</f>
        <v>0</v>
      </c>
      <c r="N59" s="15">
        <f>SUMPRODUCT((Dezember!$B$42:$B$91="Versicherungen")*(Dezember!$C$42:$C$91="Krankenversicherung")*(Dezember!$E$42:$E$91))</f>
        <v>0</v>
      </c>
      <c r="O59" s="16">
        <f>SUM(C59:N59)</f>
        <v>0</v>
      </c>
    </row>
    <row r="60" spans="1:15">
      <c r="A60" s="18" t="s">
        <v>20</v>
      </c>
      <c r="B60" s="18" t="s">
        <v>71</v>
      </c>
      <c r="C60" s="15">
        <f>SUMPRODUCT((Januar!$B$42:$B$91="Versicherungen")*(Januar!$C$42:$C$91="KFZ-Versicherung")*(Januar!$E$42:$E$91))</f>
        <v>0</v>
      </c>
      <c r="D60" s="15">
        <f>SUMPRODUCT((Februar!$B$42:$B$91="Versicherungen")*(Februar!$C$42:$C$91="KFZ-Versicherung")*(Februar!$E$42:$E$91))</f>
        <v>0</v>
      </c>
      <c r="E60" s="15">
        <f>SUMPRODUCT((März!$B$42:$B$91="Versicherungen")*(März!$C$42:$C$91="KFZ-Versicherung")*(März!$E$42:$E$91))</f>
        <v>0</v>
      </c>
      <c r="F60" s="15">
        <f>SUMPRODUCT((April!$B$42:$B$91="Versicherungen")*(April!$C$42:$C$91="KFZ-Versicherung")*(April!$E$42:$E$91))</f>
        <v>0</v>
      </c>
      <c r="G60" s="15">
        <f>SUMPRODUCT((Mai!$B$42:$B$91="Versicherungen")*(Mai!$C$42:$C$91="KFZ-Versicherung")*(Mai!$E$42:$E$91))</f>
        <v>0</v>
      </c>
      <c r="H60" s="15">
        <f>SUMPRODUCT((Juni!$B$42:$B$91="Versicherungen")*(Juni!$C$42:$C$91="KFZ-Versicherung")*(Juni!$E$42:$E$91))</f>
        <v>0</v>
      </c>
      <c r="I60" s="15">
        <f>SUMPRODUCT((Juli!$B$42:$B$91="Versicherungen")*(Juli!$C$42:$C$91="KFZ-Versicherung")*(Juli!$E$42:$E$91))</f>
        <v>0</v>
      </c>
      <c r="J60" s="15">
        <f>SUMPRODUCT((August!$B$42:$B$91="Versicherungen")*(August!$C$42:$C$91="KFZ-Versicherung")*(August!$E$42:$E$91))</f>
        <v>0</v>
      </c>
      <c r="K60" s="15">
        <f>SUMPRODUCT((September!$B$42:$B$91="Versicherungen")*(September!$C$42:$C$91="KFZ-Versicherung")*(September!$E$42:$E$91))</f>
        <v>0</v>
      </c>
      <c r="L60" s="15">
        <f>SUMPRODUCT((Oktober!$B$42:$B$91="Versicherungen")*(Oktober!$C$42:$C$91="KFZ-Versicherung")*(Oktober!$E$42:$E$91))</f>
        <v>0</v>
      </c>
      <c r="M60" s="15">
        <f>SUMPRODUCT((November!$B$42:$B$91="Versicherungen")*(November!$C$42:$C$91="KFZ-Versicherung")*(November!$E$42:$E$91))</f>
        <v>0</v>
      </c>
      <c r="N60" s="15">
        <f>SUMPRODUCT((Dezember!$B$42:$B$91="Versicherungen")*(Dezember!$C$42:$C$91="KFZ-Versicherung")*(Dezember!$E$42:$E$91))</f>
        <v>0</v>
      </c>
      <c r="O60" s="16">
        <f>SUM(C60:N60)</f>
        <v>0</v>
      </c>
    </row>
    <row r="61" spans="1:15">
      <c r="A61" s="18" t="s">
        <v>20</v>
      </c>
      <c r="B61" s="18" t="s">
        <v>72</v>
      </c>
      <c r="C61" s="15">
        <f>SUMPRODUCT((Januar!$B$42:$B$91="Versicherungen")*(Januar!$C$42:$C$91="Streaming/Abos")*(Januar!$E$42:$E$91))</f>
        <v>0</v>
      </c>
      <c r="D61" s="15">
        <f>SUMPRODUCT((Februar!$B$42:$B$91="Versicherungen")*(Februar!$C$42:$C$91="Streaming/Abos")*(Februar!$E$42:$E$91))</f>
        <v>0</v>
      </c>
      <c r="E61" s="15">
        <f>SUMPRODUCT((März!$B$42:$B$91="Versicherungen")*(März!$C$42:$C$91="Streaming/Abos")*(März!$E$42:$E$91))</f>
        <v>0</v>
      </c>
      <c r="F61" s="15">
        <f>SUMPRODUCT((April!$B$42:$B$91="Versicherungen")*(April!$C$42:$C$91="Streaming/Abos")*(April!$E$42:$E$91))</f>
        <v>0</v>
      </c>
      <c r="G61" s="15">
        <f>SUMPRODUCT((Mai!$B$42:$B$91="Versicherungen")*(Mai!$C$42:$C$91="Streaming/Abos")*(Mai!$E$42:$E$91))</f>
        <v>0</v>
      </c>
      <c r="H61" s="15">
        <f>SUMPRODUCT((Juni!$B$42:$B$91="Versicherungen")*(Juni!$C$42:$C$91="Streaming/Abos")*(Juni!$E$42:$E$91))</f>
        <v>0</v>
      </c>
      <c r="I61" s="15">
        <f>SUMPRODUCT((Juli!$B$42:$B$91="Versicherungen")*(Juli!$C$42:$C$91="Streaming/Abos")*(Juli!$E$42:$E$91))</f>
        <v>0</v>
      </c>
      <c r="J61" s="15">
        <f>SUMPRODUCT((August!$B$42:$B$91="Versicherungen")*(August!$C$42:$C$91="Streaming/Abos")*(August!$E$42:$E$91))</f>
        <v>0</v>
      </c>
      <c r="K61" s="15">
        <f>SUMPRODUCT((September!$B$42:$B$91="Versicherungen")*(September!$C$42:$C$91="Streaming/Abos")*(September!$E$42:$E$91))</f>
        <v>0</v>
      </c>
      <c r="L61" s="15">
        <f>SUMPRODUCT((Oktober!$B$42:$B$91="Versicherungen")*(Oktober!$C$42:$C$91="Streaming/Abos")*(Oktober!$E$42:$E$91))</f>
        <v>0</v>
      </c>
      <c r="M61" s="15">
        <f>SUMPRODUCT((November!$B$42:$B$91="Versicherungen")*(November!$C$42:$C$91="Streaming/Abos")*(November!$E$42:$E$91))</f>
        <v>0</v>
      </c>
      <c r="N61" s="15">
        <f>SUMPRODUCT((Dezember!$B$42:$B$91="Versicherungen")*(Dezember!$C$42:$C$91="Streaming/Abos")*(Dezember!$E$42:$E$91))</f>
        <v>0</v>
      </c>
      <c r="O61" s="16">
        <f>SUM(C61:N61)</f>
        <v>0</v>
      </c>
    </row>
    <row r="62" spans="1:15">
      <c r="A62" s="18" t="s">
        <v>20</v>
      </c>
      <c r="B62" s="18" t="s">
        <v>53</v>
      </c>
      <c r="C62" s="15">
        <f>SUMPRODUCT((Januar!$B$42:$B$91="Versicherungen")*(Januar!$C$42:$C$91="Sonstiges")*(Januar!$E$42:$E$91))</f>
        <v>0</v>
      </c>
      <c r="D62" s="15">
        <f>SUMPRODUCT((Februar!$B$42:$B$91="Versicherungen")*(Februar!$C$42:$C$91="Sonstiges")*(Februar!$E$42:$E$91))</f>
        <v>0</v>
      </c>
      <c r="E62" s="15">
        <f>SUMPRODUCT((März!$B$42:$B$91="Versicherungen")*(März!$C$42:$C$91="Sonstiges")*(März!$E$42:$E$91))</f>
        <v>0</v>
      </c>
      <c r="F62" s="15">
        <f>SUMPRODUCT((April!$B$42:$B$91="Versicherungen")*(April!$C$42:$C$91="Sonstiges")*(April!$E$42:$E$91))</f>
        <v>0</v>
      </c>
      <c r="G62" s="15">
        <f>SUMPRODUCT((Mai!$B$42:$B$91="Versicherungen")*(Mai!$C$42:$C$91="Sonstiges")*(Mai!$E$42:$E$91))</f>
        <v>0</v>
      </c>
      <c r="H62" s="15">
        <f>SUMPRODUCT((Juni!$B$42:$B$91="Versicherungen")*(Juni!$C$42:$C$91="Sonstiges")*(Juni!$E$42:$E$91))</f>
        <v>0</v>
      </c>
      <c r="I62" s="15">
        <f>SUMPRODUCT((Juli!$B$42:$B$91="Versicherungen")*(Juli!$C$42:$C$91="Sonstiges")*(Juli!$E$42:$E$91))</f>
        <v>0</v>
      </c>
      <c r="J62" s="15">
        <f>SUMPRODUCT((August!$B$42:$B$91="Versicherungen")*(August!$C$42:$C$91="Sonstiges")*(August!$E$42:$E$91))</f>
        <v>0</v>
      </c>
      <c r="K62" s="15">
        <f>SUMPRODUCT((September!$B$42:$B$91="Versicherungen")*(September!$C$42:$C$91="Sonstiges")*(September!$E$42:$E$91))</f>
        <v>0</v>
      </c>
      <c r="L62" s="15">
        <f>SUMPRODUCT((Oktober!$B$42:$B$91="Versicherungen")*(Oktober!$C$42:$C$91="Sonstiges")*(Oktober!$E$42:$E$91))</f>
        <v>0</v>
      </c>
      <c r="M62" s="15">
        <f>SUMPRODUCT((November!$B$42:$B$91="Versicherungen")*(November!$C$42:$C$91="Sonstiges")*(November!$E$42:$E$91))</f>
        <v>0</v>
      </c>
      <c r="N62" s="15">
        <f>SUMPRODUCT((Dezember!$B$42:$B$91="Versicherungen")*(Dezember!$C$42:$C$91="Sonstiges")*(Dezember!$E$42:$E$91))</f>
        <v>0</v>
      </c>
      <c r="O62" s="16">
        <f>SUM(C62:N62)</f>
        <v>0</v>
      </c>
    </row>
    <row r="63" spans="1:15">
      <c r="A63" s="19" t="s">
        <v>20</v>
      </c>
      <c r="B63" s="20" t="s">
        <v>54</v>
      </c>
      <c r="C63" s="21">
        <f>SUM(C59:C62)</f>
        <v>0</v>
      </c>
      <c r="D63" s="21">
        <f>SUM(D59:D62)</f>
        <v>0</v>
      </c>
      <c r="E63" s="21">
        <f>SUM(E59:E62)</f>
        <v>0</v>
      </c>
      <c r="F63" s="21">
        <f>SUM(F59:F62)</f>
        <v>0</v>
      </c>
      <c r="G63" s="21">
        <f>SUM(G59:G62)</f>
        <v>0</v>
      </c>
      <c r="H63" s="21">
        <f>SUM(H59:H62)</f>
        <v>0</v>
      </c>
      <c r="I63" s="21">
        <f>SUM(I59:I62)</f>
        <v>0</v>
      </c>
      <c r="J63" s="21">
        <f>SUM(J59:J62)</f>
        <v>0</v>
      </c>
      <c r="K63" s="21">
        <f>SUM(K59:K62)</f>
        <v>0</v>
      </c>
      <c r="L63" s="21">
        <f>SUM(L59:L62)</f>
        <v>0</v>
      </c>
      <c r="M63" s="21">
        <f>SUM(M59:M62)</f>
        <v>0</v>
      </c>
      <c r="N63" s="21">
        <f>SUM(N59:N62)</f>
        <v>0</v>
      </c>
      <c r="O63" s="21">
        <f>SUM(O59:O62)</f>
        <v>0</v>
      </c>
    </row>
    <row r="65" spans="1:15">
      <c r="A65" s="18" t="s">
        <v>22</v>
      </c>
      <c r="B65" s="18" t="s">
        <v>73</v>
      </c>
      <c r="C65" s="15">
        <f>SUMPRODUCT((Januar!$B$42:$B$91="Sparen")*(Januar!$C$42:$C$91="Tagesgeld/Sparen")*(Januar!$E$42:$E$91))</f>
        <v>0</v>
      </c>
      <c r="D65" s="15">
        <f>SUMPRODUCT((Februar!$B$42:$B$91="Sparen")*(Februar!$C$42:$C$91="Tagesgeld/Sparen")*(Februar!$E$42:$E$91))</f>
        <v>0</v>
      </c>
      <c r="E65" s="15">
        <f>SUMPRODUCT((März!$B$42:$B$91="Sparen")*(März!$C$42:$C$91="Tagesgeld/Sparen")*(März!$E$42:$E$91))</f>
        <v>0</v>
      </c>
      <c r="F65" s="15">
        <f>SUMPRODUCT((April!$B$42:$B$91="Sparen")*(April!$C$42:$C$91="Tagesgeld/Sparen")*(April!$E$42:$E$91))</f>
        <v>0</v>
      </c>
      <c r="G65" s="15">
        <f>SUMPRODUCT((Mai!$B$42:$B$91="Sparen")*(Mai!$C$42:$C$91="Tagesgeld/Sparen")*(Mai!$E$42:$E$91))</f>
        <v>0</v>
      </c>
      <c r="H65" s="15">
        <f>SUMPRODUCT((Juni!$B$42:$B$91="Sparen")*(Juni!$C$42:$C$91="Tagesgeld/Sparen")*(Juni!$E$42:$E$91))</f>
        <v>0</v>
      </c>
      <c r="I65" s="15">
        <f>SUMPRODUCT((Juli!$B$42:$B$91="Sparen")*(Juli!$C$42:$C$91="Tagesgeld/Sparen")*(Juli!$E$42:$E$91))</f>
        <v>0</v>
      </c>
      <c r="J65" s="15">
        <f>SUMPRODUCT((August!$B$42:$B$91="Sparen")*(August!$C$42:$C$91="Tagesgeld/Sparen")*(August!$E$42:$E$91))</f>
        <v>0</v>
      </c>
      <c r="K65" s="15">
        <f>SUMPRODUCT((September!$B$42:$B$91="Sparen")*(September!$C$42:$C$91="Tagesgeld/Sparen")*(September!$E$42:$E$91))</f>
        <v>0</v>
      </c>
      <c r="L65" s="15">
        <f>SUMPRODUCT((Oktober!$B$42:$B$91="Sparen")*(Oktober!$C$42:$C$91="Tagesgeld/Sparen")*(Oktober!$E$42:$E$91))</f>
        <v>0</v>
      </c>
      <c r="M65" s="15">
        <f>SUMPRODUCT((November!$B$42:$B$91="Sparen")*(November!$C$42:$C$91="Tagesgeld/Sparen")*(November!$E$42:$E$91))</f>
        <v>0</v>
      </c>
      <c r="N65" s="15">
        <f>SUMPRODUCT((Dezember!$B$42:$B$91="Sparen")*(Dezember!$C$42:$C$91="Tagesgeld/Sparen")*(Dezember!$E$42:$E$91))</f>
        <v>0</v>
      </c>
      <c r="O65" s="16">
        <f>SUM(C65:N65)</f>
        <v>0</v>
      </c>
    </row>
    <row r="66" spans="1:15">
      <c r="A66" s="18" t="s">
        <v>22</v>
      </c>
      <c r="B66" s="18" t="s">
        <v>74</v>
      </c>
      <c r="C66" s="15">
        <f>SUMPRODUCT((Januar!$B$42:$B$91="Sparen")*(Januar!$C$42:$C$91="Aktien/ETF")*(Januar!$E$42:$E$91))</f>
        <v>0</v>
      </c>
      <c r="D66" s="15">
        <f>SUMPRODUCT((Februar!$B$42:$B$91="Sparen")*(Februar!$C$42:$C$91="Aktien/ETF")*(Februar!$E$42:$E$91))</f>
        <v>0</v>
      </c>
      <c r="E66" s="15">
        <f>SUMPRODUCT((März!$B$42:$B$91="Sparen")*(März!$C$42:$C$91="Aktien/ETF")*(März!$E$42:$E$91))</f>
        <v>0</v>
      </c>
      <c r="F66" s="15">
        <f>SUMPRODUCT((April!$B$42:$B$91="Sparen")*(April!$C$42:$C$91="Aktien/ETF")*(April!$E$42:$E$91))</f>
        <v>0</v>
      </c>
      <c r="G66" s="15">
        <f>SUMPRODUCT((Mai!$B$42:$B$91="Sparen")*(Mai!$C$42:$C$91="Aktien/ETF")*(Mai!$E$42:$E$91))</f>
        <v>0</v>
      </c>
      <c r="H66" s="15">
        <f>SUMPRODUCT((Juni!$B$42:$B$91="Sparen")*(Juni!$C$42:$C$91="Aktien/ETF")*(Juni!$E$42:$E$91))</f>
        <v>0</v>
      </c>
      <c r="I66" s="15">
        <f>SUMPRODUCT((Juli!$B$42:$B$91="Sparen")*(Juli!$C$42:$C$91="Aktien/ETF")*(Juli!$E$42:$E$91))</f>
        <v>0</v>
      </c>
      <c r="J66" s="15">
        <f>SUMPRODUCT((August!$B$42:$B$91="Sparen")*(August!$C$42:$C$91="Aktien/ETF")*(August!$E$42:$E$91))</f>
        <v>0</v>
      </c>
      <c r="K66" s="15">
        <f>SUMPRODUCT((September!$B$42:$B$91="Sparen")*(September!$C$42:$C$91="Aktien/ETF")*(September!$E$42:$E$91))</f>
        <v>0</v>
      </c>
      <c r="L66" s="15">
        <f>SUMPRODUCT((Oktober!$B$42:$B$91="Sparen")*(Oktober!$C$42:$C$91="Aktien/ETF")*(Oktober!$E$42:$E$91))</f>
        <v>0</v>
      </c>
      <c r="M66" s="15">
        <f>SUMPRODUCT((November!$B$42:$B$91="Sparen")*(November!$C$42:$C$91="Aktien/ETF")*(November!$E$42:$E$91))</f>
        <v>0</v>
      </c>
      <c r="N66" s="15">
        <f>SUMPRODUCT((Dezember!$B$42:$B$91="Sparen")*(Dezember!$C$42:$C$91="Aktien/ETF")*(Dezember!$E$42:$E$91))</f>
        <v>0</v>
      </c>
      <c r="O66" s="16">
        <f>SUM(C66:N66)</f>
        <v>0</v>
      </c>
    </row>
    <row r="67" spans="1:15">
      <c r="A67" s="18" t="s">
        <v>22</v>
      </c>
      <c r="B67" s="18" t="s">
        <v>75</v>
      </c>
      <c r="C67" s="15">
        <f>SUMPRODUCT((Januar!$B$42:$B$91="Sparen")*(Januar!$C$42:$C$91="Altersvorsorge")*(Januar!$E$42:$E$91))</f>
        <v>0</v>
      </c>
      <c r="D67" s="15">
        <f>SUMPRODUCT((Februar!$B$42:$B$91="Sparen")*(Februar!$C$42:$C$91="Altersvorsorge")*(Februar!$E$42:$E$91))</f>
        <v>0</v>
      </c>
      <c r="E67" s="15">
        <f>SUMPRODUCT((März!$B$42:$B$91="Sparen")*(März!$C$42:$C$91="Altersvorsorge")*(März!$E$42:$E$91))</f>
        <v>0</v>
      </c>
      <c r="F67" s="15">
        <f>SUMPRODUCT((April!$B$42:$B$91="Sparen")*(April!$C$42:$C$91="Altersvorsorge")*(April!$E$42:$E$91))</f>
        <v>0</v>
      </c>
      <c r="G67" s="15">
        <f>SUMPRODUCT((Mai!$B$42:$B$91="Sparen")*(Mai!$C$42:$C$91="Altersvorsorge")*(Mai!$E$42:$E$91))</f>
        <v>0</v>
      </c>
      <c r="H67" s="15">
        <f>SUMPRODUCT((Juni!$B$42:$B$91="Sparen")*(Juni!$C$42:$C$91="Altersvorsorge")*(Juni!$E$42:$E$91))</f>
        <v>0</v>
      </c>
      <c r="I67" s="15">
        <f>SUMPRODUCT((Juli!$B$42:$B$91="Sparen")*(Juli!$C$42:$C$91="Altersvorsorge")*(Juli!$E$42:$E$91))</f>
        <v>0</v>
      </c>
      <c r="J67" s="15">
        <f>SUMPRODUCT((August!$B$42:$B$91="Sparen")*(August!$C$42:$C$91="Altersvorsorge")*(August!$E$42:$E$91))</f>
        <v>0</v>
      </c>
      <c r="K67" s="15">
        <f>SUMPRODUCT((September!$B$42:$B$91="Sparen")*(September!$C$42:$C$91="Altersvorsorge")*(September!$E$42:$E$91))</f>
        <v>0</v>
      </c>
      <c r="L67" s="15">
        <f>SUMPRODUCT((Oktober!$B$42:$B$91="Sparen")*(Oktober!$C$42:$C$91="Altersvorsorge")*(Oktober!$E$42:$E$91))</f>
        <v>0</v>
      </c>
      <c r="M67" s="15">
        <f>SUMPRODUCT((November!$B$42:$B$91="Sparen")*(November!$C$42:$C$91="Altersvorsorge")*(November!$E$42:$E$91))</f>
        <v>0</v>
      </c>
      <c r="N67" s="15">
        <f>SUMPRODUCT((Dezember!$B$42:$B$91="Sparen")*(Dezember!$C$42:$C$91="Altersvorsorge")*(Dezember!$E$42:$E$91))</f>
        <v>0</v>
      </c>
      <c r="O67" s="16">
        <f>SUM(C67:N67)</f>
        <v>0</v>
      </c>
    </row>
    <row r="68" spans="1:15">
      <c r="A68" s="18" t="s">
        <v>22</v>
      </c>
      <c r="B68" s="18" t="s">
        <v>53</v>
      </c>
      <c r="C68" s="15">
        <f>SUMPRODUCT((Januar!$B$42:$B$91="Sparen")*(Januar!$C$42:$C$91="Sonstiges")*(Januar!$E$42:$E$91))</f>
        <v>0</v>
      </c>
      <c r="D68" s="15">
        <f>SUMPRODUCT((Februar!$B$42:$B$91="Sparen")*(Februar!$C$42:$C$91="Sonstiges")*(Februar!$E$42:$E$91))</f>
        <v>0</v>
      </c>
      <c r="E68" s="15">
        <f>SUMPRODUCT((März!$B$42:$B$91="Sparen")*(März!$C$42:$C$91="Sonstiges")*(März!$E$42:$E$91))</f>
        <v>0</v>
      </c>
      <c r="F68" s="15">
        <f>SUMPRODUCT((April!$B$42:$B$91="Sparen")*(April!$C$42:$C$91="Sonstiges")*(April!$E$42:$E$91))</f>
        <v>0</v>
      </c>
      <c r="G68" s="15">
        <f>SUMPRODUCT((Mai!$B$42:$B$91="Sparen")*(Mai!$C$42:$C$91="Sonstiges")*(Mai!$E$42:$E$91))</f>
        <v>0</v>
      </c>
      <c r="H68" s="15">
        <f>SUMPRODUCT((Juni!$B$42:$B$91="Sparen")*(Juni!$C$42:$C$91="Sonstiges")*(Juni!$E$42:$E$91))</f>
        <v>0</v>
      </c>
      <c r="I68" s="15">
        <f>SUMPRODUCT((Juli!$B$42:$B$91="Sparen")*(Juli!$C$42:$C$91="Sonstiges")*(Juli!$E$42:$E$91))</f>
        <v>0</v>
      </c>
      <c r="J68" s="15">
        <f>SUMPRODUCT((August!$B$42:$B$91="Sparen")*(August!$C$42:$C$91="Sonstiges")*(August!$E$42:$E$91))</f>
        <v>0</v>
      </c>
      <c r="K68" s="15">
        <f>SUMPRODUCT((September!$B$42:$B$91="Sparen")*(September!$C$42:$C$91="Sonstiges")*(September!$E$42:$E$91))</f>
        <v>0</v>
      </c>
      <c r="L68" s="15">
        <f>SUMPRODUCT((Oktober!$B$42:$B$91="Sparen")*(Oktober!$C$42:$C$91="Sonstiges")*(Oktober!$E$42:$E$91))</f>
        <v>0</v>
      </c>
      <c r="M68" s="15">
        <f>SUMPRODUCT((November!$B$42:$B$91="Sparen")*(November!$C$42:$C$91="Sonstiges")*(November!$E$42:$E$91))</f>
        <v>0</v>
      </c>
      <c r="N68" s="15">
        <f>SUMPRODUCT((Dezember!$B$42:$B$91="Sparen")*(Dezember!$C$42:$C$91="Sonstiges")*(Dezember!$E$42:$E$91))</f>
        <v>0</v>
      </c>
      <c r="O68" s="16">
        <f>SUM(C68:N68)</f>
        <v>0</v>
      </c>
    </row>
    <row r="69" spans="1:15">
      <c r="A69" s="19" t="s">
        <v>22</v>
      </c>
      <c r="B69" s="20" t="s">
        <v>54</v>
      </c>
      <c r="C69" s="21">
        <f>SUM(C65:C68)</f>
        <v>0</v>
      </c>
      <c r="D69" s="21">
        <f>SUM(D65:D68)</f>
        <v>0</v>
      </c>
      <c r="E69" s="21">
        <f>SUM(E65:E68)</f>
        <v>0</v>
      </c>
      <c r="F69" s="21">
        <f>SUM(F65:F68)</f>
        <v>0</v>
      </c>
      <c r="G69" s="21">
        <f>SUM(G65:G68)</f>
        <v>0</v>
      </c>
      <c r="H69" s="21">
        <f>SUM(H65:H68)</f>
        <v>0</v>
      </c>
      <c r="I69" s="21">
        <f>SUM(I65:I68)</f>
        <v>0</v>
      </c>
      <c r="J69" s="21">
        <f>SUM(J65:J68)</f>
        <v>0</v>
      </c>
      <c r="K69" s="21">
        <f>SUM(K65:K68)</f>
        <v>0</v>
      </c>
      <c r="L69" s="21">
        <f>SUM(L65:L68)</f>
        <v>0</v>
      </c>
      <c r="M69" s="21">
        <f>SUM(M65:M68)</f>
        <v>0</v>
      </c>
      <c r="N69" s="21">
        <f>SUM(N65:N68)</f>
        <v>0</v>
      </c>
      <c r="O69" s="21">
        <f>SUM(O65:O68)</f>
        <v>0</v>
      </c>
    </row>
  </sheetData>
  <mergeCells count="4">
    <mergeCell ref="A1:O1"/>
    <mergeCell ref="A2:O2"/>
    <mergeCell ref="A13:B13"/>
    <mergeCell ref="A15:O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3"/>
  <sheetViews>
    <sheetView zoomScaleNormal="100" workbookViewId="0">
      <pane xSplit="2" ySplit="4" topLeftCell="C5" activePane="bottomRight" state="frozen"/>
      <selection pane="bottomRight" activeCell="B5" sqref="B5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"Januar " &amp; TEXT(Einstellungen!$B$3,"0")</f>
        <v>Januar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IFERROR(IF(1&lt;=DAY(EOMONTH(DATE(Einstellungen!$B$3,1,1),0)),DATE(Einstellungen!$B$3,1,1),""),"")</f>
        <v>46023</v>
      </c>
      <c r="B5" s="23" t="str">
        <f>IF(A5="","",TEXT(A5,"TTT"))</f>
        <v>Do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IFERROR(IF(2&lt;=DAY(EOMONTH(DATE(Einstellungen!$B$3,1,1),0)),DATE(Einstellungen!$B$3,1,2),""),"")</f>
        <v>46024</v>
      </c>
      <c r="B6" s="27" t="str">
        <f>IF(A6="","",TEXT(A6,"TTT"))</f>
        <v>Fr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IFERROR(IF(3&lt;=DAY(EOMONTH(DATE(Einstellungen!$B$3,1,1),0)),DATE(Einstellungen!$B$3,1,3),""),"")</f>
        <v>46025</v>
      </c>
      <c r="B7" s="23" t="str">
        <f>IF(A7="","",TEXT(A7,"TTT"))</f>
        <v>Sa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IFERROR(IF(4&lt;=DAY(EOMONTH(DATE(Einstellungen!$B$3,1,1),0)),DATE(Einstellungen!$B$3,1,4),""),"")</f>
        <v>46026</v>
      </c>
      <c r="B8" s="27" t="str">
        <f>IF(A8="","",TEXT(A8,"TTT"))</f>
        <v>So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IFERROR(IF(5&lt;=DAY(EOMONTH(DATE(Einstellungen!$B$3,1,1),0)),DATE(Einstellungen!$B$3,1,5),""),"")</f>
        <v>46027</v>
      </c>
      <c r="B9" s="23" t="str">
        <f>IF(A9="","",TEXT(A9,"TTT"))</f>
        <v>Mo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IFERROR(IF(6&lt;=DAY(EOMONTH(DATE(Einstellungen!$B$3,1,1),0)),DATE(Einstellungen!$B$3,1,6),""),"")</f>
        <v>46028</v>
      </c>
      <c r="B10" s="27" t="str">
        <f>IF(A10="","",TEXT(A10,"TTT"))</f>
        <v>Di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IFERROR(IF(7&lt;=DAY(EOMONTH(DATE(Einstellungen!$B$3,1,1),0)),DATE(Einstellungen!$B$3,1,7),""),"")</f>
        <v>46029</v>
      </c>
      <c r="B11" s="23" t="str">
        <f>IF(A11="","",TEXT(A11,"TTT"))</f>
        <v>Mi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IFERROR(IF(8&lt;=DAY(EOMONTH(DATE(Einstellungen!$B$3,1,1),0)),DATE(Einstellungen!$B$3,1,8),""),"")</f>
        <v>46030</v>
      </c>
      <c r="B12" s="27" t="str">
        <f>IF(A12="","",TEXT(A12,"TTT"))</f>
        <v>Do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IFERROR(IF(9&lt;=DAY(EOMONTH(DATE(Einstellungen!$B$3,1,1),0)),DATE(Einstellungen!$B$3,1,9),""),"")</f>
        <v>46031</v>
      </c>
      <c r="B13" s="23" t="str">
        <f>IF(A13="","",TEXT(A13,"TTT"))</f>
        <v>Fr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IFERROR(IF(10&lt;=DAY(EOMONTH(DATE(Einstellungen!$B$3,1,1),0)),DATE(Einstellungen!$B$3,1,10),""),"")</f>
        <v>46032</v>
      </c>
      <c r="B14" s="27" t="str">
        <f>IF(A14="","",TEXT(A14,"TTT"))</f>
        <v>Sa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IFERROR(IF(11&lt;=DAY(EOMONTH(DATE(Einstellungen!$B$3,1,1),0)),DATE(Einstellungen!$B$3,1,11),""),"")</f>
        <v>46033</v>
      </c>
      <c r="B15" s="23" t="str">
        <f>IF(A15="","",TEXT(A15,"TTT"))</f>
        <v>So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IFERROR(IF(12&lt;=DAY(EOMONTH(DATE(Einstellungen!$B$3,1,1),0)),DATE(Einstellungen!$B$3,1,12),""),"")</f>
        <v>46034</v>
      </c>
      <c r="B16" s="27" t="str">
        <f>IF(A16="","",TEXT(A16,"TTT"))</f>
        <v>Mo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IFERROR(IF(13&lt;=DAY(EOMONTH(DATE(Einstellungen!$B$3,1,1),0)),DATE(Einstellungen!$B$3,1,13),""),"")</f>
        <v>46035</v>
      </c>
      <c r="B17" s="23" t="str">
        <f>IF(A17="","",TEXT(A17,"TTT"))</f>
        <v>Di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IFERROR(IF(14&lt;=DAY(EOMONTH(DATE(Einstellungen!$B$3,1,1),0)),DATE(Einstellungen!$B$3,1,14),""),"")</f>
        <v>46036</v>
      </c>
      <c r="B18" s="27" t="str">
        <f>IF(A18="","",TEXT(A18,"TTT"))</f>
        <v>Mi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IFERROR(IF(15&lt;=DAY(EOMONTH(DATE(Einstellungen!$B$3,1,1),0)),DATE(Einstellungen!$B$3,1,15),""),"")</f>
        <v>46037</v>
      </c>
      <c r="B19" s="23" t="str">
        <f>IF(A19="","",TEXT(A19,"TTT"))</f>
        <v>Do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IFERROR(IF(16&lt;=DAY(EOMONTH(DATE(Einstellungen!$B$3,1,1),0)),DATE(Einstellungen!$B$3,1,16),""),"")</f>
        <v>46038</v>
      </c>
      <c r="B20" s="27" t="str">
        <f>IF(A20="","",TEXT(A20,"TTT"))</f>
        <v>Fr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IFERROR(IF(17&lt;=DAY(EOMONTH(DATE(Einstellungen!$B$3,1,1),0)),DATE(Einstellungen!$B$3,1,17),""),"")</f>
        <v>46039</v>
      </c>
      <c r="B21" s="23" t="str">
        <f>IF(A21="","",TEXT(A21,"TTT"))</f>
        <v>Sa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IFERROR(IF(18&lt;=DAY(EOMONTH(DATE(Einstellungen!$B$3,1,1),0)),DATE(Einstellungen!$B$3,1,18),""),"")</f>
        <v>46040</v>
      </c>
      <c r="B22" s="27" t="str">
        <f>IF(A22="","",TEXT(A22,"TTT"))</f>
        <v>So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IFERROR(IF(19&lt;=DAY(EOMONTH(DATE(Einstellungen!$B$3,1,1),0)),DATE(Einstellungen!$B$3,1,19),""),"")</f>
        <v>46041</v>
      </c>
      <c r="B23" s="23" t="str">
        <f>IF(A23="","",TEXT(A23,"TTT"))</f>
        <v>Mo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IFERROR(IF(20&lt;=DAY(EOMONTH(DATE(Einstellungen!$B$3,1,1),0)),DATE(Einstellungen!$B$3,1,20),""),"")</f>
        <v>46042</v>
      </c>
      <c r="B24" s="27" t="str">
        <f>IF(A24="","",TEXT(A24,"TTT"))</f>
        <v>Di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IFERROR(IF(21&lt;=DAY(EOMONTH(DATE(Einstellungen!$B$3,1,1),0)),DATE(Einstellungen!$B$3,1,21),""),"")</f>
        <v>46043</v>
      </c>
      <c r="B25" s="23" t="str">
        <f>IF(A25="","",TEXT(A25,"TTT"))</f>
        <v>Mi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IFERROR(IF(22&lt;=DAY(EOMONTH(DATE(Einstellungen!$B$3,1,1),0)),DATE(Einstellungen!$B$3,1,22),""),"")</f>
        <v>46044</v>
      </c>
      <c r="B26" s="27" t="str">
        <f>IF(A26="","",TEXT(A26,"TTT"))</f>
        <v>Do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IFERROR(IF(23&lt;=DAY(EOMONTH(DATE(Einstellungen!$B$3,1,1),0)),DATE(Einstellungen!$B$3,1,23),""),"")</f>
        <v>46045</v>
      </c>
      <c r="B27" s="23" t="str">
        <f>IF(A27="","",TEXT(A27,"TTT"))</f>
        <v>Fr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IFERROR(IF(24&lt;=DAY(EOMONTH(DATE(Einstellungen!$B$3,1,1),0)),DATE(Einstellungen!$B$3,1,24),""),"")</f>
        <v>46046</v>
      </c>
      <c r="B28" s="27" t="str">
        <f>IF(A28="","",TEXT(A28,"TTT"))</f>
        <v>Sa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IFERROR(IF(25&lt;=DAY(EOMONTH(DATE(Einstellungen!$B$3,1,1),0)),DATE(Einstellungen!$B$3,1,25),""),"")</f>
        <v>46047</v>
      </c>
      <c r="B29" s="23" t="str">
        <f>IF(A29="","",TEXT(A29,"TTT"))</f>
        <v>So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IFERROR(IF(26&lt;=DAY(EOMONTH(DATE(Einstellungen!$B$3,1,1),0)),DATE(Einstellungen!$B$3,1,26),""),"")</f>
        <v>46048</v>
      </c>
      <c r="B30" s="27" t="str">
        <f>IF(A30="","",TEXT(A30,"TTT"))</f>
        <v>Mo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IFERROR(IF(27&lt;=DAY(EOMONTH(DATE(Einstellungen!$B$3,1,1),0)),DATE(Einstellungen!$B$3,1,27),""),"")</f>
        <v>46049</v>
      </c>
      <c r="B31" s="23" t="str">
        <f>IF(A31="","",TEXT(A31,"TTT"))</f>
        <v>Di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IFERROR(IF(28&lt;=DAY(EOMONTH(DATE(Einstellungen!$B$3,1,1),0)),DATE(Einstellungen!$B$3,1,28),""),"")</f>
        <v>46050</v>
      </c>
      <c r="B32" s="27" t="str">
        <f>IF(A32="","",TEXT(A32,"TTT"))</f>
        <v>Mi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IFERROR(IF(29&lt;=DAY(EOMONTH(DATE(Einstellungen!$B$3,1,1),0)),DATE(Einstellungen!$B$3,1,29),""),"")</f>
        <v>46051</v>
      </c>
      <c r="B33" s="23" t="str">
        <f>IF(A33="","",TEXT(A33,"TTT"))</f>
        <v>Do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IFERROR(IF(30&lt;=DAY(EOMONTH(DATE(Einstellungen!$B$3,1,1),0)),DATE(Einstellungen!$B$3,1,30),""),"")</f>
        <v>46052</v>
      </c>
      <c r="B34" s="27" t="str">
        <f>IF(A34="","",TEXT(A34,"TTT"))</f>
        <v>Fr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IFERROR(IF(31&lt;=DAY(EOMONTH(DATE(Einstellungen!$B$3,1,1),0)),DATE(Einstellungen!$B$3,1,31),""),"")</f>
        <v>46053</v>
      </c>
      <c r="B35" s="23" t="str">
        <f>IF(A35="","",TEXT(A35,"TTT"))</f>
        <v>Sa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32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2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"Februar " &amp; TEXT(Einstellungen!$B$3,"0")</f>
        <v>Februar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IFERROR(IF(1&lt;=DAY(EOMONTH(DATE(Einstellungen!$B$3,2,1),0)),DATE(Einstellungen!$B$3,2,1),""),"")</f>
        <v>46054</v>
      </c>
      <c r="B5" s="23" t="str">
        <f>IF(A5="","",TEXT(A5,"TTT"))</f>
        <v>So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IFERROR(IF(2&lt;=DAY(EOMONTH(DATE(Einstellungen!$B$3,2,1),0)),DATE(Einstellungen!$B$3,2,2),""),"")</f>
        <v>46055</v>
      </c>
      <c r="B6" s="27" t="str">
        <f>IF(A6="","",TEXT(A6,"TTT"))</f>
        <v>Mo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IFERROR(IF(3&lt;=DAY(EOMONTH(DATE(Einstellungen!$B$3,2,1),0)),DATE(Einstellungen!$B$3,2,3),""),"")</f>
        <v>46056</v>
      </c>
      <c r="B7" s="23" t="str">
        <f>IF(A7="","",TEXT(A7,"TTT"))</f>
        <v>Di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IFERROR(IF(4&lt;=DAY(EOMONTH(DATE(Einstellungen!$B$3,2,1),0)),DATE(Einstellungen!$B$3,2,4),""),"")</f>
        <v>46057</v>
      </c>
      <c r="B8" s="27" t="str">
        <f>IF(A8="","",TEXT(A8,"TTT"))</f>
        <v>Mi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IFERROR(IF(5&lt;=DAY(EOMONTH(DATE(Einstellungen!$B$3,2,1),0)),DATE(Einstellungen!$B$3,2,5),""),"")</f>
        <v>46058</v>
      </c>
      <c r="B9" s="23" t="str">
        <f>IF(A9="","",TEXT(A9,"TTT"))</f>
        <v>Do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IFERROR(IF(6&lt;=DAY(EOMONTH(DATE(Einstellungen!$B$3,2,1),0)),DATE(Einstellungen!$B$3,2,6),""),"")</f>
        <v>46059</v>
      </c>
      <c r="B10" s="27" t="str">
        <f>IF(A10="","",TEXT(A10,"TTT"))</f>
        <v>Fr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IFERROR(IF(7&lt;=DAY(EOMONTH(DATE(Einstellungen!$B$3,2,1),0)),DATE(Einstellungen!$B$3,2,7),""),"")</f>
        <v>46060</v>
      </c>
      <c r="B11" s="23" t="str">
        <f>IF(A11="","",TEXT(A11,"TTT"))</f>
        <v>Sa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IFERROR(IF(8&lt;=DAY(EOMONTH(DATE(Einstellungen!$B$3,2,1),0)),DATE(Einstellungen!$B$3,2,8),""),"")</f>
        <v>46061</v>
      </c>
      <c r="B12" s="27" t="str">
        <f>IF(A12="","",TEXT(A12,"TTT"))</f>
        <v>So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IFERROR(IF(9&lt;=DAY(EOMONTH(DATE(Einstellungen!$B$3,2,1),0)),DATE(Einstellungen!$B$3,2,9),""),"")</f>
        <v>46062</v>
      </c>
      <c r="B13" s="23" t="str">
        <f>IF(A13="","",TEXT(A13,"TTT"))</f>
        <v>Mo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IFERROR(IF(10&lt;=DAY(EOMONTH(DATE(Einstellungen!$B$3,2,1),0)),DATE(Einstellungen!$B$3,2,10),""),"")</f>
        <v>46063</v>
      </c>
      <c r="B14" s="27" t="str">
        <f>IF(A14="","",TEXT(A14,"TTT"))</f>
        <v>Di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IFERROR(IF(11&lt;=DAY(EOMONTH(DATE(Einstellungen!$B$3,2,1),0)),DATE(Einstellungen!$B$3,2,11),""),"")</f>
        <v>46064</v>
      </c>
      <c r="B15" s="23" t="str">
        <f>IF(A15="","",TEXT(A15,"TTT"))</f>
        <v>Mi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IFERROR(IF(12&lt;=DAY(EOMONTH(DATE(Einstellungen!$B$3,2,1),0)),DATE(Einstellungen!$B$3,2,12),""),"")</f>
        <v>46065</v>
      </c>
      <c r="B16" s="27" t="str">
        <f>IF(A16="","",TEXT(A16,"TTT"))</f>
        <v>Do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IFERROR(IF(13&lt;=DAY(EOMONTH(DATE(Einstellungen!$B$3,2,1),0)),DATE(Einstellungen!$B$3,2,13),""),"")</f>
        <v>46066</v>
      </c>
      <c r="B17" s="23" t="str">
        <f>IF(A17="","",TEXT(A17,"TTT"))</f>
        <v>Fr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IFERROR(IF(14&lt;=DAY(EOMONTH(DATE(Einstellungen!$B$3,2,1),0)),DATE(Einstellungen!$B$3,2,14),""),"")</f>
        <v>46067</v>
      </c>
      <c r="B18" s="27" t="str">
        <f>IF(A18="","",TEXT(A18,"TTT"))</f>
        <v>Sa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IFERROR(IF(15&lt;=DAY(EOMONTH(DATE(Einstellungen!$B$3,2,1),0)),DATE(Einstellungen!$B$3,2,15),""),"")</f>
        <v>46068</v>
      </c>
      <c r="B19" s="23" t="str">
        <f>IF(A19="","",TEXT(A19,"TTT"))</f>
        <v>So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IFERROR(IF(16&lt;=DAY(EOMONTH(DATE(Einstellungen!$B$3,2,1),0)),DATE(Einstellungen!$B$3,2,16),""),"")</f>
        <v>46069</v>
      </c>
      <c r="B20" s="27" t="str">
        <f>IF(A20="","",TEXT(A20,"TTT"))</f>
        <v>Mo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IFERROR(IF(17&lt;=DAY(EOMONTH(DATE(Einstellungen!$B$3,2,1),0)),DATE(Einstellungen!$B$3,2,17),""),"")</f>
        <v>46070</v>
      </c>
      <c r="B21" s="23" t="str">
        <f>IF(A21="","",TEXT(A21,"TTT"))</f>
        <v>Di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IFERROR(IF(18&lt;=DAY(EOMONTH(DATE(Einstellungen!$B$3,2,1),0)),DATE(Einstellungen!$B$3,2,18),""),"")</f>
        <v>46071</v>
      </c>
      <c r="B22" s="27" t="str">
        <f>IF(A22="","",TEXT(A22,"TTT"))</f>
        <v>Mi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IFERROR(IF(19&lt;=DAY(EOMONTH(DATE(Einstellungen!$B$3,2,1),0)),DATE(Einstellungen!$B$3,2,19),""),"")</f>
        <v>46072</v>
      </c>
      <c r="B23" s="23" t="str">
        <f>IF(A23="","",TEXT(A23,"TTT"))</f>
        <v>Do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IFERROR(IF(20&lt;=DAY(EOMONTH(DATE(Einstellungen!$B$3,2,1),0)),DATE(Einstellungen!$B$3,2,20),""),"")</f>
        <v>46073</v>
      </c>
      <c r="B24" s="27" t="str">
        <f>IF(A24="","",TEXT(A24,"TTT"))</f>
        <v>Fr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IFERROR(IF(21&lt;=DAY(EOMONTH(DATE(Einstellungen!$B$3,2,1),0)),DATE(Einstellungen!$B$3,2,21),""),"")</f>
        <v>46074</v>
      </c>
      <c r="B25" s="23" t="str">
        <f>IF(A25="","",TEXT(A25,"TTT"))</f>
        <v>Sa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IFERROR(IF(22&lt;=DAY(EOMONTH(DATE(Einstellungen!$B$3,2,1),0)),DATE(Einstellungen!$B$3,2,22),""),"")</f>
        <v>46075</v>
      </c>
      <c r="B26" s="27" t="str">
        <f>IF(A26="","",TEXT(A26,"TTT"))</f>
        <v>So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IFERROR(IF(23&lt;=DAY(EOMONTH(DATE(Einstellungen!$B$3,2,1),0)),DATE(Einstellungen!$B$3,2,23),""),"")</f>
        <v>46076</v>
      </c>
      <c r="B27" s="23" t="str">
        <f>IF(A27="","",TEXT(A27,"TTT"))</f>
        <v>Mo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IFERROR(IF(24&lt;=DAY(EOMONTH(DATE(Einstellungen!$B$3,2,1),0)),DATE(Einstellungen!$B$3,2,24),""),"")</f>
        <v>46077</v>
      </c>
      <c r="B28" s="27" t="str">
        <f>IF(A28="","",TEXT(A28,"TTT"))</f>
        <v>Di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IFERROR(IF(25&lt;=DAY(EOMONTH(DATE(Einstellungen!$B$3,2,1),0)),DATE(Einstellungen!$B$3,2,25),""),"")</f>
        <v>46078</v>
      </c>
      <c r="B29" s="23" t="str">
        <f>IF(A29="","",TEXT(A29,"TTT"))</f>
        <v>Mi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IFERROR(IF(26&lt;=DAY(EOMONTH(DATE(Einstellungen!$B$3,2,1),0)),DATE(Einstellungen!$B$3,2,26),""),"")</f>
        <v>46079</v>
      </c>
      <c r="B30" s="27" t="str">
        <f>IF(A30="","",TEXT(A30,"TTT"))</f>
        <v>Do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IFERROR(IF(27&lt;=DAY(EOMONTH(DATE(Einstellungen!$B$3,2,1),0)),DATE(Einstellungen!$B$3,2,27),""),"")</f>
        <v>46080</v>
      </c>
      <c r="B31" s="23" t="str">
        <f>IF(A31="","",TEXT(A31,"TTT"))</f>
        <v>Fr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IFERROR(IF(28&lt;=DAY(EOMONTH(DATE(Einstellungen!$B$3,2,1),0)),DATE(Einstellungen!$B$3,2,28),""),"")</f>
        <v>46081</v>
      </c>
      <c r="B32" s="27" t="str">
        <f>IF(A32="","",TEXT(A32,"TTT"))</f>
        <v>Sa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 t="str">
        <f>IFERROR(IF(29&lt;=DAY(EOMONTH(DATE(Einstellungen!$B$3,2,1),0)),DATE(Einstellungen!$B$3,2,29),""),"")</f>
        <v/>
      </c>
      <c r="B33" s="23" t="str">
        <f>IF(A33="","",TEXT(A33,"TTT"))</f>
        <v/>
      </c>
      <c r="C33" s="24"/>
      <c r="D33" s="24"/>
      <c r="E33" s="24"/>
      <c r="F33" s="24"/>
      <c r="G33" s="24"/>
      <c r="H33" s="24"/>
      <c r="I33" s="24"/>
      <c r="J33" s="24"/>
      <c r="K33" s="24"/>
      <c r="L33" s="16" t="str">
        <f>IF(A33="","",IFERROR(SUM(C33:K33),0))</f>
        <v/>
      </c>
      <c r="M33" s="25"/>
    </row>
    <row r="34" spans="1:13">
      <c r="A34" s="26" t="str">
        <f>IFERROR(IF(30&lt;=DAY(EOMONTH(DATE(Einstellungen!$B$3,2,1),0)),DATE(Einstellungen!$B$3,2,30),""),"")</f>
        <v/>
      </c>
      <c r="B34" s="27" t="str">
        <f>IF(A34="","",TEXT(A34,"TTT"))</f>
        <v/>
      </c>
      <c r="C34" s="28"/>
      <c r="D34" s="28"/>
      <c r="E34" s="28"/>
      <c r="F34" s="28"/>
      <c r="G34" s="28"/>
      <c r="H34" s="28"/>
      <c r="I34" s="28"/>
      <c r="J34" s="28"/>
      <c r="K34" s="28"/>
      <c r="L34" s="16" t="str">
        <f>IF(A34="","",IFERROR(SUM(C34:K34),0))</f>
        <v/>
      </c>
      <c r="M34" s="29"/>
    </row>
    <row r="35" spans="1:13">
      <c r="A35" s="22" t="str">
        <f>IFERROR(IF(31&lt;=DAY(EOMONTH(DATE(Einstellungen!$B$3,2,1),0)),DATE(Einstellungen!$B$3,2,31),""),"")</f>
        <v/>
      </c>
      <c r="B35" s="23" t="str">
        <f>IF(A35="","",TEXT(A35,"TTT"))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16" t="str">
        <f>IF(A35="","",IFERROR(SUM(C35:K35),0))</f>
        <v/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3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"März " &amp; TEXT(Einstellungen!$B$3,"0")</f>
        <v>März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IFERROR(IF(1&lt;=DAY(EOMONTH(DATE(Einstellungen!$B$3,3,1),0)),DATE(Einstellungen!$B$3,3,1),""),"")</f>
        <v>46082</v>
      </c>
      <c r="B5" s="23" t="str">
        <f>IF(A5="","",TEXT(A5,"TTT"))</f>
        <v>So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IFERROR(IF(2&lt;=DAY(EOMONTH(DATE(Einstellungen!$B$3,3,1),0)),DATE(Einstellungen!$B$3,3,2),""),"")</f>
        <v>46083</v>
      </c>
      <c r="B6" s="27" t="str">
        <f>IF(A6="","",TEXT(A6,"TTT"))</f>
        <v>Mo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IFERROR(IF(3&lt;=DAY(EOMONTH(DATE(Einstellungen!$B$3,3,1),0)),DATE(Einstellungen!$B$3,3,3),""),"")</f>
        <v>46084</v>
      </c>
      <c r="B7" s="23" t="str">
        <f>IF(A7="","",TEXT(A7,"TTT"))</f>
        <v>Di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IFERROR(IF(4&lt;=DAY(EOMONTH(DATE(Einstellungen!$B$3,3,1),0)),DATE(Einstellungen!$B$3,3,4),""),"")</f>
        <v>46085</v>
      </c>
      <c r="B8" s="27" t="str">
        <f>IF(A8="","",TEXT(A8,"TTT"))</f>
        <v>Mi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IFERROR(IF(5&lt;=DAY(EOMONTH(DATE(Einstellungen!$B$3,3,1),0)),DATE(Einstellungen!$B$3,3,5),""),"")</f>
        <v>46086</v>
      </c>
      <c r="B9" s="23" t="str">
        <f>IF(A9="","",TEXT(A9,"TTT"))</f>
        <v>Do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IFERROR(IF(6&lt;=DAY(EOMONTH(DATE(Einstellungen!$B$3,3,1),0)),DATE(Einstellungen!$B$3,3,6),""),"")</f>
        <v>46087</v>
      </c>
      <c r="B10" s="27" t="str">
        <f>IF(A10="","",TEXT(A10,"TTT"))</f>
        <v>Fr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IFERROR(IF(7&lt;=DAY(EOMONTH(DATE(Einstellungen!$B$3,3,1),0)),DATE(Einstellungen!$B$3,3,7),""),"")</f>
        <v>46088</v>
      </c>
      <c r="B11" s="23" t="str">
        <f>IF(A11="","",TEXT(A11,"TTT"))</f>
        <v>Sa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IFERROR(IF(8&lt;=DAY(EOMONTH(DATE(Einstellungen!$B$3,3,1),0)),DATE(Einstellungen!$B$3,3,8),""),"")</f>
        <v>46089</v>
      </c>
      <c r="B12" s="27" t="str">
        <f>IF(A12="","",TEXT(A12,"TTT"))</f>
        <v>So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IFERROR(IF(9&lt;=DAY(EOMONTH(DATE(Einstellungen!$B$3,3,1),0)),DATE(Einstellungen!$B$3,3,9),""),"")</f>
        <v>46090</v>
      </c>
      <c r="B13" s="23" t="str">
        <f>IF(A13="","",TEXT(A13,"TTT"))</f>
        <v>Mo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IFERROR(IF(10&lt;=DAY(EOMONTH(DATE(Einstellungen!$B$3,3,1),0)),DATE(Einstellungen!$B$3,3,10),""),"")</f>
        <v>46091</v>
      </c>
      <c r="B14" s="27" t="str">
        <f>IF(A14="","",TEXT(A14,"TTT"))</f>
        <v>Di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IFERROR(IF(11&lt;=DAY(EOMONTH(DATE(Einstellungen!$B$3,3,1),0)),DATE(Einstellungen!$B$3,3,11),""),"")</f>
        <v>46092</v>
      </c>
      <c r="B15" s="23" t="str">
        <f>IF(A15="","",TEXT(A15,"TTT"))</f>
        <v>Mi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IFERROR(IF(12&lt;=DAY(EOMONTH(DATE(Einstellungen!$B$3,3,1),0)),DATE(Einstellungen!$B$3,3,12),""),"")</f>
        <v>46093</v>
      </c>
      <c r="B16" s="27" t="str">
        <f>IF(A16="","",TEXT(A16,"TTT"))</f>
        <v>Do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IFERROR(IF(13&lt;=DAY(EOMONTH(DATE(Einstellungen!$B$3,3,1),0)),DATE(Einstellungen!$B$3,3,13),""),"")</f>
        <v>46094</v>
      </c>
      <c r="B17" s="23" t="str">
        <f>IF(A17="","",TEXT(A17,"TTT"))</f>
        <v>Fr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IFERROR(IF(14&lt;=DAY(EOMONTH(DATE(Einstellungen!$B$3,3,1),0)),DATE(Einstellungen!$B$3,3,14),""),"")</f>
        <v>46095</v>
      </c>
      <c r="B18" s="27" t="str">
        <f>IF(A18="","",TEXT(A18,"TTT"))</f>
        <v>Sa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IFERROR(IF(15&lt;=DAY(EOMONTH(DATE(Einstellungen!$B$3,3,1),0)),DATE(Einstellungen!$B$3,3,15),""),"")</f>
        <v>46096</v>
      </c>
      <c r="B19" s="23" t="str">
        <f>IF(A19="","",TEXT(A19,"TTT"))</f>
        <v>So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IFERROR(IF(16&lt;=DAY(EOMONTH(DATE(Einstellungen!$B$3,3,1),0)),DATE(Einstellungen!$B$3,3,16),""),"")</f>
        <v>46097</v>
      </c>
      <c r="B20" s="27" t="str">
        <f>IF(A20="","",TEXT(A20,"TTT"))</f>
        <v>Mo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IFERROR(IF(17&lt;=DAY(EOMONTH(DATE(Einstellungen!$B$3,3,1),0)),DATE(Einstellungen!$B$3,3,17),""),"")</f>
        <v>46098</v>
      </c>
      <c r="B21" s="23" t="str">
        <f>IF(A21="","",TEXT(A21,"TTT"))</f>
        <v>Di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IFERROR(IF(18&lt;=DAY(EOMONTH(DATE(Einstellungen!$B$3,3,1),0)),DATE(Einstellungen!$B$3,3,18),""),"")</f>
        <v>46099</v>
      </c>
      <c r="B22" s="27" t="str">
        <f>IF(A22="","",TEXT(A22,"TTT"))</f>
        <v>Mi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IFERROR(IF(19&lt;=DAY(EOMONTH(DATE(Einstellungen!$B$3,3,1),0)),DATE(Einstellungen!$B$3,3,19),""),"")</f>
        <v>46100</v>
      </c>
      <c r="B23" s="23" t="str">
        <f>IF(A23="","",TEXT(A23,"TTT"))</f>
        <v>Do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IFERROR(IF(20&lt;=DAY(EOMONTH(DATE(Einstellungen!$B$3,3,1),0)),DATE(Einstellungen!$B$3,3,20),""),"")</f>
        <v>46101</v>
      </c>
      <c r="B24" s="27" t="str">
        <f>IF(A24="","",TEXT(A24,"TTT"))</f>
        <v>Fr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IFERROR(IF(21&lt;=DAY(EOMONTH(DATE(Einstellungen!$B$3,3,1),0)),DATE(Einstellungen!$B$3,3,21),""),"")</f>
        <v>46102</v>
      </c>
      <c r="B25" s="23" t="str">
        <f>IF(A25="","",TEXT(A25,"TTT"))</f>
        <v>Sa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IFERROR(IF(22&lt;=DAY(EOMONTH(DATE(Einstellungen!$B$3,3,1),0)),DATE(Einstellungen!$B$3,3,22),""),"")</f>
        <v>46103</v>
      </c>
      <c r="B26" s="27" t="str">
        <f>IF(A26="","",TEXT(A26,"TTT"))</f>
        <v>So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IFERROR(IF(23&lt;=DAY(EOMONTH(DATE(Einstellungen!$B$3,3,1),0)),DATE(Einstellungen!$B$3,3,23),""),"")</f>
        <v>46104</v>
      </c>
      <c r="B27" s="23" t="str">
        <f>IF(A27="","",TEXT(A27,"TTT"))</f>
        <v>Mo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IFERROR(IF(24&lt;=DAY(EOMONTH(DATE(Einstellungen!$B$3,3,1),0)),DATE(Einstellungen!$B$3,3,24),""),"")</f>
        <v>46105</v>
      </c>
      <c r="B28" s="27" t="str">
        <f>IF(A28="","",TEXT(A28,"TTT"))</f>
        <v>Di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IFERROR(IF(25&lt;=DAY(EOMONTH(DATE(Einstellungen!$B$3,3,1),0)),DATE(Einstellungen!$B$3,3,25),""),"")</f>
        <v>46106</v>
      </c>
      <c r="B29" s="23" t="str">
        <f>IF(A29="","",TEXT(A29,"TTT"))</f>
        <v>Mi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IFERROR(IF(26&lt;=DAY(EOMONTH(DATE(Einstellungen!$B$3,3,1),0)),DATE(Einstellungen!$B$3,3,26),""),"")</f>
        <v>46107</v>
      </c>
      <c r="B30" s="27" t="str">
        <f>IF(A30="","",TEXT(A30,"TTT"))</f>
        <v>Do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IFERROR(IF(27&lt;=DAY(EOMONTH(DATE(Einstellungen!$B$3,3,1),0)),DATE(Einstellungen!$B$3,3,27),""),"")</f>
        <v>46108</v>
      </c>
      <c r="B31" s="23" t="str">
        <f>IF(A31="","",TEXT(A31,"TTT"))</f>
        <v>Fr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IFERROR(IF(28&lt;=DAY(EOMONTH(DATE(Einstellungen!$B$3,3,1),0)),DATE(Einstellungen!$B$3,3,28),""),"")</f>
        <v>46109</v>
      </c>
      <c r="B32" s="27" t="str">
        <f>IF(A32="","",TEXT(A32,"TTT"))</f>
        <v>Sa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IFERROR(IF(29&lt;=DAY(EOMONTH(DATE(Einstellungen!$B$3,3,1),0)),DATE(Einstellungen!$B$3,3,29),""),"")</f>
        <v>46110</v>
      </c>
      <c r="B33" s="23" t="str">
        <f>IF(A33="","",TEXT(A33,"TTT"))</f>
        <v>So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IFERROR(IF(30&lt;=DAY(EOMONTH(DATE(Einstellungen!$B$3,3,1),0)),DATE(Einstellungen!$B$3,3,30),""),"")</f>
        <v>46111</v>
      </c>
      <c r="B34" s="27" t="str">
        <f>IF(A34="","",TEXT(A34,"TTT"))</f>
        <v>Mo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IFERROR(IF(31&lt;=DAY(EOMONTH(DATE(Einstellungen!$B$3,3,1),0)),DATE(Einstellungen!$B$3,3,31),""),"")</f>
        <v>46112</v>
      </c>
      <c r="B35" s="23" t="str">
        <f>IF(A35="","",TEXT(A35,"TTT"))</f>
        <v>Di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4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"April " &amp; TEXT(Einstellungen!$B$3,"0")</f>
        <v>April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IFERROR(IF(1&lt;=DAY(EOMONTH(DATE(Einstellungen!$B$3,4,1),0)),DATE(Einstellungen!$B$3,4,1),""),"")</f>
        <v>46113</v>
      </c>
      <c r="B5" s="23" t="str">
        <f>IF(A5="","",TEXT(A5,"TTT"))</f>
        <v>Mi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IFERROR(IF(2&lt;=DAY(EOMONTH(DATE(Einstellungen!$B$3,4,1),0)),DATE(Einstellungen!$B$3,4,2),""),"")</f>
        <v>46114</v>
      </c>
      <c r="B6" s="27" t="str">
        <f>IF(A6="","",TEXT(A6,"TTT"))</f>
        <v>Do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IFERROR(IF(3&lt;=DAY(EOMONTH(DATE(Einstellungen!$B$3,4,1),0)),DATE(Einstellungen!$B$3,4,3),""),"")</f>
        <v>46115</v>
      </c>
      <c r="B7" s="23" t="str">
        <f>IF(A7="","",TEXT(A7,"TTT"))</f>
        <v>Fr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IFERROR(IF(4&lt;=DAY(EOMONTH(DATE(Einstellungen!$B$3,4,1),0)),DATE(Einstellungen!$B$3,4,4),""),"")</f>
        <v>46116</v>
      </c>
      <c r="B8" s="27" t="str">
        <f>IF(A8="","",TEXT(A8,"TTT"))</f>
        <v>Sa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IFERROR(IF(5&lt;=DAY(EOMONTH(DATE(Einstellungen!$B$3,4,1),0)),DATE(Einstellungen!$B$3,4,5),""),"")</f>
        <v>46117</v>
      </c>
      <c r="B9" s="23" t="str">
        <f>IF(A9="","",TEXT(A9,"TTT"))</f>
        <v>So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IFERROR(IF(6&lt;=DAY(EOMONTH(DATE(Einstellungen!$B$3,4,1),0)),DATE(Einstellungen!$B$3,4,6),""),"")</f>
        <v>46118</v>
      </c>
      <c r="B10" s="27" t="str">
        <f>IF(A10="","",TEXT(A10,"TTT"))</f>
        <v>Mo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IFERROR(IF(7&lt;=DAY(EOMONTH(DATE(Einstellungen!$B$3,4,1),0)),DATE(Einstellungen!$B$3,4,7),""),"")</f>
        <v>46119</v>
      </c>
      <c r="B11" s="23" t="str">
        <f>IF(A11="","",TEXT(A11,"TTT"))</f>
        <v>Di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IFERROR(IF(8&lt;=DAY(EOMONTH(DATE(Einstellungen!$B$3,4,1),0)),DATE(Einstellungen!$B$3,4,8),""),"")</f>
        <v>46120</v>
      </c>
      <c r="B12" s="27" t="str">
        <f>IF(A12="","",TEXT(A12,"TTT"))</f>
        <v>Mi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IFERROR(IF(9&lt;=DAY(EOMONTH(DATE(Einstellungen!$B$3,4,1),0)),DATE(Einstellungen!$B$3,4,9),""),"")</f>
        <v>46121</v>
      </c>
      <c r="B13" s="23" t="str">
        <f>IF(A13="","",TEXT(A13,"TTT"))</f>
        <v>Do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IFERROR(IF(10&lt;=DAY(EOMONTH(DATE(Einstellungen!$B$3,4,1),0)),DATE(Einstellungen!$B$3,4,10),""),"")</f>
        <v>46122</v>
      </c>
      <c r="B14" s="27" t="str">
        <f>IF(A14="","",TEXT(A14,"TTT"))</f>
        <v>Fr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IFERROR(IF(11&lt;=DAY(EOMONTH(DATE(Einstellungen!$B$3,4,1),0)),DATE(Einstellungen!$B$3,4,11),""),"")</f>
        <v>46123</v>
      </c>
      <c r="B15" s="23" t="str">
        <f>IF(A15="","",TEXT(A15,"TTT"))</f>
        <v>Sa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IFERROR(IF(12&lt;=DAY(EOMONTH(DATE(Einstellungen!$B$3,4,1),0)),DATE(Einstellungen!$B$3,4,12),""),"")</f>
        <v>46124</v>
      </c>
      <c r="B16" s="27" t="str">
        <f>IF(A16="","",TEXT(A16,"TTT"))</f>
        <v>So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IFERROR(IF(13&lt;=DAY(EOMONTH(DATE(Einstellungen!$B$3,4,1),0)),DATE(Einstellungen!$B$3,4,13),""),"")</f>
        <v>46125</v>
      </c>
      <c r="B17" s="23" t="str">
        <f>IF(A17="","",TEXT(A17,"TTT"))</f>
        <v>Mo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IFERROR(IF(14&lt;=DAY(EOMONTH(DATE(Einstellungen!$B$3,4,1),0)),DATE(Einstellungen!$B$3,4,14),""),"")</f>
        <v>46126</v>
      </c>
      <c r="B18" s="27" t="str">
        <f>IF(A18="","",TEXT(A18,"TTT"))</f>
        <v>Di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IFERROR(IF(15&lt;=DAY(EOMONTH(DATE(Einstellungen!$B$3,4,1),0)),DATE(Einstellungen!$B$3,4,15),""),"")</f>
        <v>46127</v>
      </c>
      <c r="B19" s="23" t="str">
        <f>IF(A19="","",TEXT(A19,"TTT"))</f>
        <v>Mi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IFERROR(IF(16&lt;=DAY(EOMONTH(DATE(Einstellungen!$B$3,4,1),0)),DATE(Einstellungen!$B$3,4,16),""),"")</f>
        <v>46128</v>
      </c>
      <c r="B20" s="27" t="str">
        <f>IF(A20="","",TEXT(A20,"TTT"))</f>
        <v>Do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IFERROR(IF(17&lt;=DAY(EOMONTH(DATE(Einstellungen!$B$3,4,1),0)),DATE(Einstellungen!$B$3,4,17),""),"")</f>
        <v>46129</v>
      </c>
      <c r="B21" s="23" t="str">
        <f>IF(A21="","",TEXT(A21,"TTT"))</f>
        <v>Fr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IFERROR(IF(18&lt;=DAY(EOMONTH(DATE(Einstellungen!$B$3,4,1),0)),DATE(Einstellungen!$B$3,4,18),""),"")</f>
        <v>46130</v>
      </c>
      <c r="B22" s="27" t="str">
        <f>IF(A22="","",TEXT(A22,"TTT"))</f>
        <v>Sa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IFERROR(IF(19&lt;=DAY(EOMONTH(DATE(Einstellungen!$B$3,4,1),0)),DATE(Einstellungen!$B$3,4,19),""),"")</f>
        <v>46131</v>
      </c>
      <c r="B23" s="23" t="str">
        <f>IF(A23="","",TEXT(A23,"TTT"))</f>
        <v>So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IFERROR(IF(20&lt;=DAY(EOMONTH(DATE(Einstellungen!$B$3,4,1),0)),DATE(Einstellungen!$B$3,4,20),""),"")</f>
        <v>46132</v>
      </c>
      <c r="B24" s="27" t="str">
        <f>IF(A24="","",TEXT(A24,"TTT"))</f>
        <v>Mo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IFERROR(IF(21&lt;=DAY(EOMONTH(DATE(Einstellungen!$B$3,4,1),0)),DATE(Einstellungen!$B$3,4,21),""),"")</f>
        <v>46133</v>
      </c>
      <c r="B25" s="23" t="str">
        <f>IF(A25="","",TEXT(A25,"TTT"))</f>
        <v>Di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IFERROR(IF(22&lt;=DAY(EOMONTH(DATE(Einstellungen!$B$3,4,1),0)),DATE(Einstellungen!$B$3,4,22),""),"")</f>
        <v>46134</v>
      </c>
      <c r="B26" s="27" t="str">
        <f>IF(A26="","",TEXT(A26,"TTT"))</f>
        <v>Mi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IFERROR(IF(23&lt;=DAY(EOMONTH(DATE(Einstellungen!$B$3,4,1),0)),DATE(Einstellungen!$B$3,4,23),""),"")</f>
        <v>46135</v>
      </c>
      <c r="B27" s="23" t="str">
        <f>IF(A27="","",TEXT(A27,"TTT"))</f>
        <v>Do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IFERROR(IF(24&lt;=DAY(EOMONTH(DATE(Einstellungen!$B$3,4,1),0)),DATE(Einstellungen!$B$3,4,24),""),"")</f>
        <v>46136</v>
      </c>
      <c r="B28" s="27" t="str">
        <f>IF(A28="","",TEXT(A28,"TTT"))</f>
        <v>Fr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IFERROR(IF(25&lt;=DAY(EOMONTH(DATE(Einstellungen!$B$3,4,1),0)),DATE(Einstellungen!$B$3,4,25),""),"")</f>
        <v>46137</v>
      </c>
      <c r="B29" s="23" t="str">
        <f>IF(A29="","",TEXT(A29,"TTT"))</f>
        <v>Sa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IFERROR(IF(26&lt;=DAY(EOMONTH(DATE(Einstellungen!$B$3,4,1),0)),DATE(Einstellungen!$B$3,4,26),""),"")</f>
        <v>46138</v>
      </c>
      <c r="B30" s="27" t="str">
        <f>IF(A30="","",TEXT(A30,"TTT"))</f>
        <v>So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IFERROR(IF(27&lt;=DAY(EOMONTH(DATE(Einstellungen!$B$3,4,1),0)),DATE(Einstellungen!$B$3,4,27),""),"")</f>
        <v>46139</v>
      </c>
      <c r="B31" s="23" t="str">
        <f>IF(A31="","",TEXT(A31,"TTT"))</f>
        <v>Mo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IFERROR(IF(28&lt;=DAY(EOMONTH(DATE(Einstellungen!$B$3,4,1),0)),DATE(Einstellungen!$B$3,4,28),""),"")</f>
        <v>46140</v>
      </c>
      <c r="B32" s="27" t="str">
        <f>IF(A32="","",TEXT(A32,"TTT"))</f>
        <v>Di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IFERROR(IF(29&lt;=DAY(EOMONTH(DATE(Einstellungen!$B$3,4,1),0)),DATE(Einstellungen!$B$3,4,29),""),"")</f>
        <v>46141</v>
      </c>
      <c r="B33" s="23" t="str">
        <f>IF(A33="","",TEXT(A33,"TTT"))</f>
        <v>Mi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IFERROR(IF(30&lt;=DAY(EOMONTH(DATE(Einstellungen!$B$3,4,1),0)),DATE(Einstellungen!$B$3,4,30),""),"")</f>
        <v>46142</v>
      </c>
      <c r="B34" s="27" t="str">
        <f>IF(A34="","",TEXT(A34,"TTT"))</f>
        <v>Do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 t="str">
        <f>IFERROR(IF(31&lt;=DAY(EOMONTH(DATE(Einstellungen!$B$3,4,1),0)),DATE(Einstellungen!$B$3,4,31),""),"")</f>
        <v/>
      </c>
      <c r="B35" s="23" t="str">
        <f>IF(A35="","",TEXT(A35,"TTT"))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16" t="str">
        <f>IF(A35="","",IFERROR(SUM(C35:K35),0))</f>
        <v/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5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"Mai " &amp; TEXT(Einstellungen!$B$3,"0")</f>
        <v>Mai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IFERROR(IF(1&lt;=DAY(EOMONTH(DATE(Einstellungen!$B$3,5,1),0)),DATE(Einstellungen!$B$3,5,1),""),"")</f>
        <v>46143</v>
      </c>
      <c r="B5" s="23" t="str">
        <f>IF(A5="","",TEXT(A5,"TTT"))</f>
        <v>Fr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IFERROR(IF(2&lt;=DAY(EOMONTH(DATE(Einstellungen!$B$3,5,1),0)),DATE(Einstellungen!$B$3,5,2),""),"")</f>
        <v>46144</v>
      </c>
      <c r="B6" s="27" t="str">
        <f>IF(A6="","",TEXT(A6,"TTT"))</f>
        <v>Sa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IFERROR(IF(3&lt;=DAY(EOMONTH(DATE(Einstellungen!$B$3,5,1),0)),DATE(Einstellungen!$B$3,5,3),""),"")</f>
        <v>46145</v>
      </c>
      <c r="B7" s="23" t="str">
        <f>IF(A7="","",TEXT(A7,"TTT"))</f>
        <v>So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IFERROR(IF(4&lt;=DAY(EOMONTH(DATE(Einstellungen!$B$3,5,1),0)),DATE(Einstellungen!$B$3,5,4),""),"")</f>
        <v>46146</v>
      </c>
      <c r="B8" s="27" t="str">
        <f>IF(A8="","",TEXT(A8,"TTT"))</f>
        <v>Mo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IFERROR(IF(5&lt;=DAY(EOMONTH(DATE(Einstellungen!$B$3,5,1),0)),DATE(Einstellungen!$B$3,5,5),""),"")</f>
        <v>46147</v>
      </c>
      <c r="B9" s="23" t="str">
        <f>IF(A9="","",TEXT(A9,"TTT"))</f>
        <v>Di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IFERROR(IF(6&lt;=DAY(EOMONTH(DATE(Einstellungen!$B$3,5,1),0)),DATE(Einstellungen!$B$3,5,6),""),"")</f>
        <v>46148</v>
      </c>
      <c r="B10" s="27" t="str">
        <f>IF(A10="","",TEXT(A10,"TTT"))</f>
        <v>Mi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IFERROR(IF(7&lt;=DAY(EOMONTH(DATE(Einstellungen!$B$3,5,1),0)),DATE(Einstellungen!$B$3,5,7),""),"")</f>
        <v>46149</v>
      </c>
      <c r="B11" s="23" t="str">
        <f>IF(A11="","",TEXT(A11,"TTT"))</f>
        <v>Do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IFERROR(IF(8&lt;=DAY(EOMONTH(DATE(Einstellungen!$B$3,5,1),0)),DATE(Einstellungen!$B$3,5,8),""),"")</f>
        <v>46150</v>
      </c>
      <c r="B12" s="27" t="str">
        <f>IF(A12="","",TEXT(A12,"TTT"))</f>
        <v>Fr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IFERROR(IF(9&lt;=DAY(EOMONTH(DATE(Einstellungen!$B$3,5,1),0)),DATE(Einstellungen!$B$3,5,9),""),"")</f>
        <v>46151</v>
      </c>
      <c r="B13" s="23" t="str">
        <f>IF(A13="","",TEXT(A13,"TTT"))</f>
        <v>Sa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IFERROR(IF(10&lt;=DAY(EOMONTH(DATE(Einstellungen!$B$3,5,1),0)),DATE(Einstellungen!$B$3,5,10),""),"")</f>
        <v>46152</v>
      </c>
      <c r="B14" s="27" t="str">
        <f>IF(A14="","",TEXT(A14,"TTT"))</f>
        <v>So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IFERROR(IF(11&lt;=DAY(EOMONTH(DATE(Einstellungen!$B$3,5,1),0)),DATE(Einstellungen!$B$3,5,11),""),"")</f>
        <v>46153</v>
      </c>
      <c r="B15" s="23" t="str">
        <f>IF(A15="","",TEXT(A15,"TTT"))</f>
        <v>Mo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IFERROR(IF(12&lt;=DAY(EOMONTH(DATE(Einstellungen!$B$3,5,1),0)),DATE(Einstellungen!$B$3,5,12),""),"")</f>
        <v>46154</v>
      </c>
      <c r="B16" s="27" t="str">
        <f>IF(A16="","",TEXT(A16,"TTT"))</f>
        <v>Di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IFERROR(IF(13&lt;=DAY(EOMONTH(DATE(Einstellungen!$B$3,5,1),0)),DATE(Einstellungen!$B$3,5,13),""),"")</f>
        <v>46155</v>
      </c>
      <c r="B17" s="23" t="str">
        <f>IF(A17="","",TEXT(A17,"TTT"))</f>
        <v>Mi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IFERROR(IF(14&lt;=DAY(EOMONTH(DATE(Einstellungen!$B$3,5,1),0)),DATE(Einstellungen!$B$3,5,14),""),"")</f>
        <v>46156</v>
      </c>
      <c r="B18" s="27" t="str">
        <f>IF(A18="","",TEXT(A18,"TTT"))</f>
        <v>Do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IFERROR(IF(15&lt;=DAY(EOMONTH(DATE(Einstellungen!$B$3,5,1),0)),DATE(Einstellungen!$B$3,5,15),""),"")</f>
        <v>46157</v>
      </c>
      <c r="B19" s="23" t="str">
        <f>IF(A19="","",TEXT(A19,"TTT"))</f>
        <v>Fr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IFERROR(IF(16&lt;=DAY(EOMONTH(DATE(Einstellungen!$B$3,5,1),0)),DATE(Einstellungen!$B$3,5,16),""),"")</f>
        <v>46158</v>
      </c>
      <c r="B20" s="27" t="str">
        <f>IF(A20="","",TEXT(A20,"TTT"))</f>
        <v>Sa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IFERROR(IF(17&lt;=DAY(EOMONTH(DATE(Einstellungen!$B$3,5,1),0)),DATE(Einstellungen!$B$3,5,17),""),"")</f>
        <v>46159</v>
      </c>
      <c r="B21" s="23" t="str">
        <f>IF(A21="","",TEXT(A21,"TTT"))</f>
        <v>So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IFERROR(IF(18&lt;=DAY(EOMONTH(DATE(Einstellungen!$B$3,5,1),0)),DATE(Einstellungen!$B$3,5,18),""),"")</f>
        <v>46160</v>
      </c>
      <c r="B22" s="27" t="str">
        <f>IF(A22="","",TEXT(A22,"TTT"))</f>
        <v>Mo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IFERROR(IF(19&lt;=DAY(EOMONTH(DATE(Einstellungen!$B$3,5,1),0)),DATE(Einstellungen!$B$3,5,19),""),"")</f>
        <v>46161</v>
      </c>
      <c r="B23" s="23" t="str">
        <f>IF(A23="","",TEXT(A23,"TTT"))</f>
        <v>Di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IFERROR(IF(20&lt;=DAY(EOMONTH(DATE(Einstellungen!$B$3,5,1),0)),DATE(Einstellungen!$B$3,5,20),""),"")</f>
        <v>46162</v>
      </c>
      <c r="B24" s="27" t="str">
        <f>IF(A24="","",TEXT(A24,"TTT"))</f>
        <v>Mi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IFERROR(IF(21&lt;=DAY(EOMONTH(DATE(Einstellungen!$B$3,5,1),0)),DATE(Einstellungen!$B$3,5,21),""),"")</f>
        <v>46163</v>
      </c>
      <c r="B25" s="23" t="str">
        <f>IF(A25="","",TEXT(A25,"TTT"))</f>
        <v>Do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IFERROR(IF(22&lt;=DAY(EOMONTH(DATE(Einstellungen!$B$3,5,1),0)),DATE(Einstellungen!$B$3,5,22),""),"")</f>
        <v>46164</v>
      </c>
      <c r="B26" s="27" t="str">
        <f>IF(A26="","",TEXT(A26,"TTT"))</f>
        <v>Fr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IFERROR(IF(23&lt;=DAY(EOMONTH(DATE(Einstellungen!$B$3,5,1),0)),DATE(Einstellungen!$B$3,5,23),""),"")</f>
        <v>46165</v>
      </c>
      <c r="B27" s="23" t="str">
        <f>IF(A27="","",TEXT(A27,"TTT"))</f>
        <v>Sa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IFERROR(IF(24&lt;=DAY(EOMONTH(DATE(Einstellungen!$B$3,5,1),0)),DATE(Einstellungen!$B$3,5,24),""),"")</f>
        <v>46166</v>
      </c>
      <c r="B28" s="27" t="str">
        <f>IF(A28="","",TEXT(A28,"TTT"))</f>
        <v>So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IFERROR(IF(25&lt;=DAY(EOMONTH(DATE(Einstellungen!$B$3,5,1),0)),DATE(Einstellungen!$B$3,5,25),""),"")</f>
        <v>46167</v>
      </c>
      <c r="B29" s="23" t="str">
        <f>IF(A29="","",TEXT(A29,"TTT"))</f>
        <v>Mo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IFERROR(IF(26&lt;=DAY(EOMONTH(DATE(Einstellungen!$B$3,5,1),0)),DATE(Einstellungen!$B$3,5,26),""),"")</f>
        <v>46168</v>
      </c>
      <c r="B30" s="27" t="str">
        <f>IF(A30="","",TEXT(A30,"TTT"))</f>
        <v>Di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IFERROR(IF(27&lt;=DAY(EOMONTH(DATE(Einstellungen!$B$3,5,1),0)),DATE(Einstellungen!$B$3,5,27),""),"")</f>
        <v>46169</v>
      </c>
      <c r="B31" s="23" t="str">
        <f>IF(A31="","",TEXT(A31,"TTT"))</f>
        <v>Mi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IFERROR(IF(28&lt;=DAY(EOMONTH(DATE(Einstellungen!$B$3,5,1),0)),DATE(Einstellungen!$B$3,5,28),""),"")</f>
        <v>46170</v>
      </c>
      <c r="B32" s="27" t="str">
        <f>IF(A32="","",TEXT(A32,"TTT"))</f>
        <v>Do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IFERROR(IF(29&lt;=DAY(EOMONTH(DATE(Einstellungen!$B$3,5,1),0)),DATE(Einstellungen!$B$3,5,29),""),"")</f>
        <v>46171</v>
      </c>
      <c r="B33" s="23" t="str">
        <f>IF(A33="","",TEXT(A33,"TTT"))</f>
        <v>Fr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IFERROR(IF(30&lt;=DAY(EOMONTH(DATE(Einstellungen!$B$3,5,1),0)),DATE(Einstellungen!$B$3,5,30),""),"")</f>
        <v>46172</v>
      </c>
      <c r="B34" s="27" t="str">
        <f>IF(A34="","",TEXT(A34,"TTT"))</f>
        <v>Sa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IFERROR(IF(31&lt;=DAY(EOMONTH(DATE(Einstellungen!$B$3,5,1),0)),DATE(Einstellungen!$B$3,5,31),""),"")</f>
        <v>46173</v>
      </c>
      <c r="B35" s="23" t="str">
        <f>IF(A35="","",TEXT(A35,"TTT"))</f>
        <v>So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6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"Juni " &amp; TEXT(Einstellungen!$B$3,"0")</f>
        <v>Juni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IFERROR(IF(1&lt;=DAY(EOMONTH(DATE(Einstellungen!$B$3,6,1),0)),DATE(Einstellungen!$B$3,6,1),""),"")</f>
        <v>46174</v>
      </c>
      <c r="B5" s="23" t="str">
        <f>IF(A5="","",TEXT(A5,"TTT"))</f>
        <v>Mo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IFERROR(IF(2&lt;=DAY(EOMONTH(DATE(Einstellungen!$B$3,6,1),0)),DATE(Einstellungen!$B$3,6,2),""),"")</f>
        <v>46175</v>
      </c>
      <c r="B6" s="27" t="str">
        <f>IF(A6="","",TEXT(A6,"TTT"))</f>
        <v>Di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IFERROR(IF(3&lt;=DAY(EOMONTH(DATE(Einstellungen!$B$3,6,1),0)),DATE(Einstellungen!$B$3,6,3),""),"")</f>
        <v>46176</v>
      </c>
      <c r="B7" s="23" t="str">
        <f>IF(A7="","",TEXT(A7,"TTT"))</f>
        <v>Mi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IFERROR(IF(4&lt;=DAY(EOMONTH(DATE(Einstellungen!$B$3,6,1),0)),DATE(Einstellungen!$B$3,6,4),""),"")</f>
        <v>46177</v>
      </c>
      <c r="B8" s="27" t="str">
        <f>IF(A8="","",TEXT(A8,"TTT"))</f>
        <v>Do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IFERROR(IF(5&lt;=DAY(EOMONTH(DATE(Einstellungen!$B$3,6,1),0)),DATE(Einstellungen!$B$3,6,5),""),"")</f>
        <v>46178</v>
      </c>
      <c r="B9" s="23" t="str">
        <f>IF(A9="","",TEXT(A9,"TTT"))</f>
        <v>Fr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IFERROR(IF(6&lt;=DAY(EOMONTH(DATE(Einstellungen!$B$3,6,1),0)),DATE(Einstellungen!$B$3,6,6),""),"")</f>
        <v>46179</v>
      </c>
      <c r="B10" s="27" t="str">
        <f>IF(A10="","",TEXT(A10,"TTT"))</f>
        <v>Sa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IFERROR(IF(7&lt;=DAY(EOMONTH(DATE(Einstellungen!$B$3,6,1),0)),DATE(Einstellungen!$B$3,6,7),""),"")</f>
        <v>46180</v>
      </c>
      <c r="B11" s="23" t="str">
        <f>IF(A11="","",TEXT(A11,"TTT"))</f>
        <v>So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IFERROR(IF(8&lt;=DAY(EOMONTH(DATE(Einstellungen!$B$3,6,1),0)),DATE(Einstellungen!$B$3,6,8),""),"")</f>
        <v>46181</v>
      </c>
      <c r="B12" s="27" t="str">
        <f>IF(A12="","",TEXT(A12,"TTT"))</f>
        <v>Mo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IFERROR(IF(9&lt;=DAY(EOMONTH(DATE(Einstellungen!$B$3,6,1),0)),DATE(Einstellungen!$B$3,6,9),""),"")</f>
        <v>46182</v>
      </c>
      <c r="B13" s="23" t="str">
        <f>IF(A13="","",TEXT(A13,"TTT"))</f>
        <v>Di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IFERROR(IF(10&lt;=DAY(EOMONTH(DATE(Einstellungen!$B$3,6,1),0)),DATE(Einstellungen!$B$3,6,10),""),"")</f>
        <v>46183</v>
      </c>
      <c r="B14" s="27" t="str">
        <f>IF(A14="","",TEXT(A14,"TTT"))</f>
        <v>Mi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IFERROR(IF(11&lt;=DAY(EOMONTH(DATE(Einstellungen!$B$3,6,1),0)),DATE(Einstellungen!$B$3,6,11),""),"")</f>
        <v>46184</v>
      </c>
      <c r="B15" s="23" t="str">
        <f>IF(A15="","",TEXT(A15,"TTT"))</f>
        <v>Do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IFERROR(IF(12&lt;=DAY(EOMONTH(DATE(Einstellungen!$B$3,6,1),0)),DATE(Einstellungen!$B$3,6,12),""),"")</f>
        <v>46185</v>
      </c>
      <c r="B16" s="27" t="str">
        <f>IF(A16="","",TEXT(A16,"TTT"))</f>
        <v>Fr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IFERROR(IF(13&lt;=DAY(EOMONTH(DATE(Einstellungen!$B$3,6,1),0)),DATE(Einstellungen!$B$3,6,13),""),"")</f>
        <v>46186</v>
      </c>
      <c r="B17" s="23" t="str">
        <f>IF(A17="","",TEXT(A17,"TTT"))</f>
        <v>Sa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IFERROR(IF(14&lt;=DAY(EOMONTH(DATE(Einstellungen!$B$3,6,1),0)),DATE(Einstellungen!$B$3,6,14),""),"")</f>
        <v>46187</v>
      </c>
      <c r="B18" s="27" t="str">
        <f>IF(A18="","",TEXT(A18,"TTT"))</f>
        <v>So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IFERROR(IF(15&lt;=DAY(EOMONTH(DATE(Einstellungen!$B$3,6,1),0)),DATE(Einstellungen!$B$3,6,15),""),"")</f>
        <v>46188</v>
      </c>
      <c r="B19" s="23" t="str">
        <f>IF(A19="","",TEXT(A19,"TTT"))</f>
        <v>Mo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IFERROR(IF(16&lt;=DAY(EOMONTH(DATE(Einstellungen!$B$3,6,1),0)),DATE(Einstellungen!$B$3,6,16),""),"")</f>
        <v>46189</v>
      </c>
      <c r="B20" s="27" t="str">
        <f>IF(A20="","",TEXT(A20,"TTT"))</f>
        <v>Di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IFERROR(IF(17&lt;=DAY(EOMONTH(DATE(Einstellungen!$B$3,6,1),0)),DATE(Einstellungen!$B$3,6,17),""),"")</f>
        <v>46190</v>
      </c>
      <c r="B21" s="23" t="str">
        <f>IF(A21="","",TEXT(A21,"TTT"))</f>
        <v>Mi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IFERROR(IF(18&lt;=DAY(EOMONTH(DATE(Einstellungen!$B$3,6,1),0)),DATE(Einstellungen!$B$3,6,18),""),"")</f>
        <v>46191</v>
      </c>
      <c r="B22" s="27" t="str">
        <f>IF(A22="","",TEXT(A22,"TTT"))</f>
        <v>Do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IFERROR(IF(19&lt;=DAY(EOMONTH(DATE(Einstellungen!$B$3,6,1),0)),DATE(Einstellungen!$B$3,6,19),""),"")</f>
        <v>46192</v>
      </c>
      <c r="B23" s="23" t="str">
        <f>IF(A23="","",TEXT(A23,"TTT"))</f>
        <v>Fr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IFERROR(IF(20&lt;=DAY(EOMONTH(DATE(Einstellungen!$B$3,6,1),0)),DATE(Einstellungen!$B$3,6,20),""),"")</f>
        <v>46193</v>
      </c>
      <c r="B24" s="27" t="str">
        <f>IF(A24="","",TEXT(A24,"TTT"))</f>
        <v>Sa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IFERROR(IF(21&lt;=DAY(EOMONTH(DATE(Einstellungen!$B$3,6,1),0)),DATE(Einstellungen!$B$3,6,21),""),"")</f>
        <v>46194</v>
      </c>
      <c r="B25" s="23" t="str">
        <f>IF(A25="","",TEXT(A25,"TTT"))</f>
        <v>So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IFERROR(IF(22&lt;=DAY(EOMONTH(DATE(Einstellungen!$B$3,6,1),0)),DATE(Einstellungen!$B$3,6,22),""),"")</f>
        <v>46195</v>
      </c>
      <c r="B26" s="27" t="str">
        <f>IF(A26="","",TEXT(A26,"TTT"))</f>
        <v>Mo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IFERROR(IF(23&lt;=DAY(EOMONTH(DATE(Einstellungen!$B$3,6,1),0)),DATE(Einstellungen!$B$3,6,23),""),"")</f>
        <v>46196</v>
      </c>
      <c r="B27" s="23" t="str">
        <f>IF(A27="","",TEXT(A27,"TTT"))</f>
        <v>Di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IFERROR(IF(24&lt;=DAY(EOMONTH(DATE(Einstellungen!$B$3,6,1),0)),DATE(Einstellungen!$B$3,6,24),""),"")</f>
        <v>46197</v>
      </c>
      <c r="B28" s="27" t="str">
        <f>IF(A28="","",TEXT(A28,"TTT"))</f>
        <v>Mi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IFERROR(IF(25&lt;=DAY(EOMONTH(DATE(Einstellungen!$B$3,6,1),0)),DATE(Einstellungen!$B$3,6,25),""),"")</f>
        <v>46198</v>
      </c>
      <c r="B29" s="23" t="str">
        <f>IF(A29="","",TEXT(A29,"TTT"))</f>
        <v>Do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IFERROR(IF(26&lt;=DAY(EOMONTH(DATE(Einstellungen!$B$3,6,1),0)),DATE(Einstellungen!$B$3,6,26),""),"")</f>
        <v>46199</v>
      </c>
      <c r="B30" s="27" t="str">
        <f>IF(A30="","",TEXT(A30,"TTT"))</f>
        <v>Fr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IFERROR(IF(27&lt;=DAY(EOMONTH(DATE(Einstellungen!$B$3,6,1),0)),DATE(Einstellungen!$B$3,6,27),""),"")</f>
        <v>46200</v>
      </c>
      <c r="B31" s="23" t="str">
        <f>IF(A31="","",TEXT(A31,"TTT"))</f>
        <v>Sa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IFERROR(IF(28&lt;=DAY(EOMONTH(DATE(Einstellungen!$B$3,6,1),0)),DATE(Einstellungen!$B$3,6,28),""),"")</f>
        <v>46201</v>
      </c>
      <c r="B32" s="27" t="str">
        <f>IF(A32="","",TEXT(A32,"TTT"))</f>
        <v>So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IFERROR(IF(29&lt;=DAY(EOMONTH(DATE(Einstellungen!$B$3,6,1),0)),DATE(Einstellungen!$B$3,6,29),""),"")</f>
        <v>46202</v>
      </c>
      <c r="B33" s="23" t="str">
        <f>IF(A33="","",TEXT(A33,"TTT"))</f>
        <v>Mo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IFERROR(IF(30&lt;=DAY(EOMONTH(DATE(Einstellungen!$B$3,6,1),0)),DATE(Einstellungen!$B$3,6,30),""),"")</f>
        <v>46203</v>
      </c>
      <c r="B34" s="27" t="str">
        <f>IF(A34="","",TEXT(A34,"TTT"))</f>
        <v>Di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 t="str">
        <f>IFERROR(IF(31&lt;=DAY(EOMONTH(DATE(Einstellungen!$B$3,6,1),0)),DATE(Einstellungen!$B$3,6,31),""),"")</f>
        <v/>
      </c>
      <c r="B35" s="23" t="str">
        <f>IF(A35="","",TEXT(A35,"TTT"))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16" t="str">
        <f>IF(A35="","",IFERROR(SUM(C35:K35),0))</f>
        <v/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7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"Juli " &amp; TEXT(Einstellungen!$B$3,"0")</f>
        <v>Juli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IFERROR(IF(1&lt;=DAY(EOMONTH(DATE(Einstellungen!$B$3,7,1),0)),DATE(Einstellungen!$B$3,7,1),""),"")</f>
        <v>46204</v>
      </c>
      <c r="B5" s="23" t="str">
        <f>IF(A5="","",TEXT(A5,"TTT"))</f>
        <v>Mi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IFERROR(IF(2&lt;=DAY(EOMONTH(DATE(Einstellungen!$B$3,7,1),0)),DATE(Einstellungen!$B$3,7,2),""),"")</f>
        <v>46205</v>
      </c>
      <c r="B6" s="27" t="str">
        <f>IF(A6="","",TEXT(A6,"TTT"))</f>
        <v>Do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IFERROR(IF(3&lt;=DAY(EOMONTH(DATE(Einstellungen!$B$3,7,1),0)),DATE(Einstellungen!$B$3,7,3),""),"")</f>
        <v>46206</v>
      </c>
      <c r="B7" s="23" t="str">
        <f>IF(A7="","",TEXT(A7,"TTT"))</f>
        <v>Fr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IFERROR(IF(4&lt;=DAY(EOMONTH(DATE(Einstellungen!$B$3,7,1),0)),DATE(Einstellungen!$B$3,7,4),""),"")</f>
        <v>46207</v>
      </c>
      <c r="B8" s="27" t="str">
        <f>IF(A8="","",TEXT(A8,"TTT"))</f>
        <v>Sa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IFERROR(IF(5&lt;=DAY(EOMONTH(DATE(Einstellungen!$B$3,7,1),0)),DATE(Einstellungen!$B$3,7,5),""),"")</f>
        <v>46208</v>
      </c>
      <c r="B9" s="23" t="str">
        <f>IF(A9="","",TEXT(A9,"TTT"))</f>
        <v>So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IFERROR(IF(6&lt;=DAY(EOMONTH(DATE(Einstellungen!$B$3,7,1),0)),DATE(Einstellungen!$B$3,7,6),""),"")</f>
        <v>46209</v>
      </c>
      <c r="B10" s="27" t="str">
        <f>IF(A10="","",TEXT(A10,"TTT"))</f>
        <v>Mo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IFERROR(IF(7&lt;=DAY(EOMONTH(DATE(Einstellungen!$B$3,7,1),0)),DATE(Einstellungen!$B$3,7,7),""),"")</f>
        <v>46210</v>
      </c>
      <c r="B11" s="23" t="str">
        <f>IF(A11="","",TEXT(A11,"TTT"))</f>
        <v>Di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IFERROR(IF(8&lt;=DAY(EOMONTH(DATE(Einstellungen!$B$3,7,1),0)),DATE(Einstellungen!$B$3,7,8),""),"")</f>
        <v>46211</v>
      </c>
      <c r="B12" s="27" t="str">
        <f>IF(A12="","",TEXT(A12,"TTT"))</f>
        <v>Mi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IFERROR(IF(9&lt;=DAY(EOMONTH(DATE(Einstellungen!$B$3,7,1),0)),DATE(Einstellungen!$B$3,7,9),""),"")</f>
        <v>46212</v>
      </c>
      <c r="B13" s="23" t="str">
        <f>IF(A13="","",TEXT(A13,"TTT"))</f>
        <v>Do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IFERROR(IF(10&lt;=DAY(EOMONTH(DATE(Einstellungen!$B$3,7,1),0)),DATE(Einstellungen!$B$3,7,10),""),"")</f>
        <v>46213</v>
      </c>
      <c r="B14" s="27" t="str">
        <f>IF(A14="","",TEXT(A14,"TTT"))</f>
        <v>Fr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IFERROR(IF(11&lt;=DAY(EOMONTH(DATE(Einstellungen!$B$3,7,1),0)),DATE(Einstellungen!$B$3,7,11),""),"")</f>
        <v>46214</v>
      </c>
      <c r="B15" s="23" t="str">
        <f>IF(A15="","",TEXT(A15,"TTT"))</f>
        <v>Sa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IFERROR(IF(12&lt;=DAY(EOMONTH(DATE(Einstellungen!$B$3,7,1),0)),DATE(Einstellungen!$B$3,7,12),""),"")</f>
        <v>46215</v>
      </c>
      <c r="B16" s="27" t="str">
        <f>IF(A16="","",TEXT(A16,"TTT"))</f>
        <v>So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IFERROR(IF(13&lt;=DAY(EOMONTH(DATE(Einstellungen!$B$3,7,1),0)),DATE(Einstellungen!$B$3,7,13),""),"")</f>
        <v>46216</v>
      </c>
      <c r="B17" s="23" t="str">
        <f>IF(A17="","",TEXT(A17,"TTT"))</f>
        <v>Mo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IFERROR(IF(14&lt;=DAY(EOMONTH(DATE(Einstellungen!$B$3,7,1),0)),DATE(Einstellungen!$B$3,7,14),""),"")</f>
        <v>46217</v>
      </c>
      <c r="B18" s="27" t="str">
        <f>IF(A18="","",TEXT(A18,"TTT"))</f>
        <v>Di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IFERROR(IF(15&lt;=DAY(EOMONTH(DATE(Einstellungen!$B$3,7,1),0)),DATE(Einstellungen!$B$3,7,15),""),"")</f>
        <v>46218</v>
      </c>
      <c r="B19" s="23" t="str">
        <f>IF(A19="","",TEXT(A19,"TTT"))</f>
        <v>Mi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IFERROR(IF(16&lt;=DAY(EOMONTH(DATE(Einstellungen!$B$3,7,1),0)),DATE(Einstellungen!$B$3,7,16),""),"")</f>
        <v>46219</v>
      </c>
      <c r="B20" s="27" t="str">
        <f>IF(A20="","",TEXT(A20,"TTT"))</f>
        <v>Do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IFERROR(IF(17&lt;=DAY(EOMONTH(DATE(Einstellungen!$B$3,7,1),0)),DATE(Einstellungen!$B$3,7,17),""),"")</f>
        <v>46220</v>
      </c>
      <c r="B21" s="23" t="str">
        <f>IF(A21="","",TEXT(A21,"TTT"))</f>
        <v>Fr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IFERROR(IF(18&lt;=DAY(EOMONTH(DATE(Einstellungen!$B$3,7,1),0)),DATE(Einstellungen!$B$3,7,18),""),"")</f>
        <v>46221</v>
      </c>
      <c r="B22" s="27" t="str">
        <f>IF(A22="","",TEXT(A22,"TTT"))</f>
        <v>Sa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IFERROR(IF(19&lt;=DAY(EOMONTH(DATE(Einstellungen!$B$3,7,1),0)),DATE(Einstellungen!$B$3,7,19),""),"")</f>
        <v>46222</v>
      </c>
      <c r="B23" s="23" t="str">
        <f>IF(A23="","",TEXT(A23,"TTT"))</f>
        <v>So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IFERROR(IF(20&lt;=DAY(EOMONTH(DATE(Einstellungen!$B$3,7,1),0)),DATE(Einstellungen!$B$3,7,20),""),"")</f>
        <v>46223</v>
      </c>
      <c r="B24" s="27" t="str">
        <f>IF(A24="","",TEXT(A24,"TTT"))</f>
        <v>Mo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IFERROR(IF(21&lt;=DAY(EOMONTH(DATE(Einstellungen!$B$3,7,1),0)),DATE(Einstellungen!$B$3,7,21),""),"")</f>
        <v>46224</v>
      </c>
      <c r="B25" s="23" t="str">
        <f>IF(A25="","",TEXT(A25,"TTT"))</f>
        <v>Di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IFERROR(IF(22&lt;=DAY(EOMONTH(DATE(Einstellungen!$B$3,7,1),0)),DATE(Einstellungen!$B$3,7,22),""),"")</f>
        <v>46225</v>
      </c>
      <c r="B26" s="27" t="str">
        <f>IF(A26="","",TEXT(A26,"TTT"))</f>
        <v>Mi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IFERROR(IF(23&lt;=DAY(EOMONTH(DATE(Einstellungen!$B$3,7,1),0)),DATE(Einstellungen!$B$3,7,23),""),"")</f>
        <v>46226</v>
      </c>
      <c r="B27" s="23" t="str">
        <f>IF(A27="","",TEXT(A27,"TTT"))</f>
        <v>Do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IFERROR(IF(24&lt;=DAY(EOMONTH(DATE(Einstellungen!$B$3,7,1),0)),DATE(Einstellungen!$B$3,7,24),""),"")</f>
        <v>46227</v>
      </c>
      <c r="B28" s="27" t="str">
        <f>IF(A28="","",TEXT(A28,"TTT"))</f>
        <v>Fr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IFERROR(IF(25&lt;=DAY(EOMONTH(DATE(Einstellungen!$B$3,7,1),0)),DATE(Einstellungen!$B$3,7,25),""),"")</f>
        <v>46228</v>
      </c>
      <c r="B29" s="23" t="str">
        <f>IF(A29="","",TEXT(A29,"TTT"))</f>
        <v>Sa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IFERROR(IF(26&lt;=DAY(EOMONTH(DATE(Einstellungen!$B$3,7,1),0)),DATE(Einstellungen!$B$3,7,26),""),"")</f>
        <v>46229</v>
      </c>
      <c r="B30" s="27" t="str">
        <f>IF(A30="","",TEXT(A30,"TTT"))</f>
        <v>So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IFERROR(IF(27&lt;=DAY(EOMONTH(DATE(Einstellungen!$B$3,7,1),0)),DATE(Einstellungen!$B$3,7,27),""),"")</f>
        <v>46230</v>
      </c>
      <c r="B31" s="23" t="str">
        <f>IF(A31="","",TEXT(A31,"TTT"))</f>
        <v>Mo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IFERROR(IF(28&lt;=DAY(EOMONTH(DATE(Einstellungen!$B$3,7,1),0)),DATE(Einstellungen!$B$3,7,28),""),"")</f>
        <v>46231</v>
      </c>
      <c r="B32" s="27" t="str">
        <f>IF(A32="","",TEXT(A32,"TTT"))</f>
        <v>Di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IFERROR(IF(29&lt;=DAY(EOMONTH(DATE(Einstellungen!$B$3,7,1),0)),DATE(Einstellungen!$B$3,7,29),""),"")</f>
        <v>46232</v>
      </c>
      <c r="B33" s="23" t="str">
        <f>IF(A33="","",TEXT(A33,"TTT"))</f>
        <v>Mi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IFERROR(IF(30&lt;=DAY(EOMONTH(DATE(Einstellungen!$B$3,7,1),0)),DATE(Einstellungen!$B$3,7,30),""),"")</f>
        <v>46233</v>
      </c>
      <c r="B34" s="27" t="str">
        <f>IF(A34="","",TEXT(A34,"TTT"))</f>
        <v>Do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IFERROR(IF(31&lt;=DAY(EOMONTH(DATE(Einstellungen!$B$3,7,1),0)),DATE(Einstellungen!$B$3,7,31),""),"")</f>
        <v>46234</v>
      </c>
      <c r="B35" s="23" t="str">
        <f>IF(A35="","",TEXT(A35,"TTT"))</f>
        <v>Fr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8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"August " &amp; TEXT(Einstellungen!$B$3,"0")</f>
        <v>August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IFERROR(IF(1&lt;=DAY(EOMONTH(DATE(Einstellungen!$B$3,8,1),0)),DATE(Einstellungen!$B$3,8,1),""),"")</f>
        <v>46235</v>
      </c>
      <c r="B5" s="23" t="str">
        <f>IF(A5="","",TEXT(A5,"TTT"))</f>
        <v>Sa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IFERROR(IF(2&lt;=DAY(EOMONTH(DATE(Einstellungen!$B$3,8,1),0)),DATE(Einstellungen!$B$3,8,2),""),"")</f>
        <v>46236</v>
      </c>
      <c r="B6" s="27" t="str">
        <f>IF(A6="","",TEXT(A6,"TTT"))</f>
        <v>So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IFERROR(IF(3&lt;=DAY(EOMONTH(DATE(Einstellungen!$B$3,8,1),0)),DATE(Einstellungen!$B$3,8,3),""),"")</f>
        <v>46237</v>
      </c>
      <c r="B7" s="23" t="str">
        <f>IF(A7="","",TEXT(A7,"TTT"))</f>
        <v>Mo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IFERROR(IF(4&lt;=DAY(EOMONTH(DATE(Einstellungen!$B$3,8,1),0)),DATE(Einstellungen!$B$3,8,4),""),"")</f>
        <v>46238</v>
      </c>
      <c r="B8" s="27" t="str">
        <f>IF(A8="","",TEXT(A8,"TTT"))</f>
        <v>Di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IFERROR(IF(5&lt;=DAY(EOMONTH(DATE(Einstellungen!$B$3,8,1),0)),DATE(Einstellungen!$B$3,8,5),""),"")</f>
        <v>46239</v>
      </c>
      <c r="B9" s="23" t="str">
        <f>IF(A9="","",TEXT(A9,"TTT"))</f>
        <v>Mi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IFERROR(IF(6&lt;=DAY(EOMONTH(DATE(Einstellungen!$B$3,8,1),0)),DATE(Einstellungen!$B$3,8,6),""),"")</f>
        <v>46240</v>
      </c>
      <c r="B10" s="27" t="str">
        <f>IF(A10="","",TEXT(A10,"TTT"))</f>
        <v>Do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IFERROR(IF(7&lt;=DAY(EOMONTH(DATE(Einstellungen!$B$3,8,1),0)),DATE(Einstellungen!$B$3,8,7),""),"")</f>
        <v>46241</v>
      </c>
      <c r="B11" s="23" t="str">
        <f>IF(A11="","",TEXT(A11,"TTT"))</f>
        <v>Fr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IFERROR(IF(8&lt;=DAY(EOMONTH(DATE(Einstellungen!$B$3,8,1),0)),DATE(Einstellungen!$B$3,8,8),""),"")</f>
        <v>46242</v>
      </c>
      <c r="B12" s="27" t="str">
        <f>IF(A12="","",TEXT(A12,"TTT"))</f>
        <v>Sa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IFERROR(IF(9&lt;=DAY(EOMONTH(DATE(Einstellungen!$B$3,8,1),0)),DATE(Einstellungen!$B$3,8,9),""),"")</f>
        <v>46243</v>
      </c>
      <c r="B13" s="23" t="str">
        <f>IF(A13="","",TEXT(A13,"TTT"))</f>
        <v>So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IFERROR(IF(10&lt;=DAY(EOMONTH(DATE(Einstellungen!$B$3,8,1),0)),DATE(Einstellungen!$B$3,8,10),""),"")</f>
        <v>46244</v>
      </c>
      <c r="B14" s="27" t="str">
        <f>IF(A14="","",TEXT(A14,"TTT"))</f>
        <v>Mo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IFERROR(IF(11&lt;=DAY(EOMONTH(DATE(Einstellungen!$B$3,8,1),0)),DATE(Einstellungen!$B$3,8,11),""),"")</f>
        <v>46245</v>
      </c>
      <c r="B15" s="23" t="str">
        <f>IF(A15="","",TEXT(A15,"TTT"))</f>
        <v>Di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IFERROR(IF(12&lt;=DAY(EOMONTH(DATE(Einstellungen!$B$3,8,1),0)),DATE(Einstellungen!$B$3,8,12),""),"")</f>
        <v>46246</v>
      </c>
      <c r="B16" s="27" t="str">
        <f>IF(A16="","",TEXT(A16,"TTT"))</f>
        <v>Mi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IFERROR(IF(13&lt;=DAY(EOMONTH(DATE(Einstellungen!$B$3,8,1),0)),DATE(Einstellungen!$B$3,8,13),""),"")</f>
        <v>46247</v>
      </c>
      <c r="B17" s="23" t="str">
        <f>IF(A17="","",TEXT(A17,"TTT"))</f>
        <v>Do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IFERROR(IF(14&lt;=DAY(EOMONTH(DATE(Einstellungen!$B$3,8,1),0)),DATE(Einstellungen!$B$3,8,14),""),"")</f>
        <v>46248</v>
      </c>
      <c r="B18" s="27" t="str">
        <f>IF(A18="","",TEXT(A18,"TTT"))</f>
        <v>Fr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IFERROR(IF(15&lt;=DAY(EOMONTH(DATE(Einstellungen!$B$3,8,1),0)),DATE(Einstellungen!$B$3,8,15),""),"")</f>
        <v>46249</v>
      </c>
      <c r="B19" s="23" t="str">
        <f>IF(A19="","",TEXT(A19,"TTT"))</f>
        <v>Sa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IFERROR(IF(16&lt;=DAY(EOMONTH(DATE(Einstellungen!$B$3,8,1),0)),DATE(Einstellungen!$B$3,8,16),""),"")</f>
        <v>46250</v>
      </c>
      <c r="B20" s="27" t="str">
        <f>IF(A20="","",TEXT(A20,"TTT"))</f>
        <v>So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IFERROR(IF(17&lt;=DAY(EOMONTH(DATE(Einstellungen!$B$3,8,1),0)),DATE(Einstellungen!$B$3,8,17),""),"")</f>
        <v>46251</v>
      </c>
      <c r="B21" s="23" t="str">
        <f>IF(A21="","",TEXT(A21,"TTT"))</f>
        <v>Mo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IFERROR(IF(18&lt;=DAY(EOMONTH(DATE(Einstellungen!$B$3,8,1),0)),DATE(Einstellungen!$B$3,8,18),""),"")</f>
        <v>46252</v>
      </c>
      <c r="B22" s="27" t="str">
        <f>IF(A22="","",TEXT(A22,"TTT"))</f>
        <v>Di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IFERROR(IF(19&lt;=DAY(EOMONTH(DATE(Einstellungen!$B$3,8,1),0)),DATE(Einstellungen!$B$3,8,19),""),"")</f>
        <v>46253</v>
      </c>
      <c r="B23" s="23" t="str">
        <f>IF(A23="","",TEXT(A23,"TTT"))</f>
        <v>Mi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IFERROR(IF(20&lt;=DAY(EOMONTH(DATE(Einstellungen!$B$3,8,1),0)),DATE(Einstellungen!$B$3,8,20),""),"")</f>
        <v>46254</v>
      </c>
      <c r="B24" s="27" t="str">
        <f>IF(A24="","",TEXT(A24,"TTT"))</f>
        <v>Do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IFERROR(IF(21&lt;=DAY(EOMONTH(DATE(Einstellungen!$B$3,8,1),0)),DATE(Einstellungen!$B$3,8,21),""),"")</f>
        <v>46255</v>
      </c>
      <c r="B25" s="23" t="str">
        <f>IF(A25="","",TEXT(A25,"TTT"))</f>
        <v>Fr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IFERROR(IF(22&lt;=DAY(EOMONTH(DATE(Einstellungen!$B$3,8,1),0)),DATE(Einstellungen!$B$3,8,22),""),"")</f>
        <v>46256</v>
      </c>
      <c r="B26" s="27" t="str">
        <f>IF(A26="","",TEXT(A26,"TTT"))</f>
        <v>Sa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IFERROR(IF(23&lt;=DAY(EOMONTH(DATE(Einstellungen!$B$3,8,1),0)),DATE(Einstellungen!$B$3,8,23),""),"")</f>
        <v>46257</v>
      </c>
      <c r="B27" s="23" t="str">
        <f>IF(A27="","",TEXT(A27,"TTT"))</f>
        <v>So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IFERROR(IF(24&lt;=DAY(EOMONTH(DATE(Einstellungen!$B$3,8,1),0)),DATE(Einstellungen!$B$3,8,24),""),"")</f>
        <v>46258</v>
      </c>
      <c r="B28" s="27" t="str">
        <f>IF(A28="","",TEXT(A28,"TTT"))</f>
        <v>Mo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IFERROR(IF(25&lt;=DAY(EOMONTH(DATE(Einstellungen!$B$3,8,1),0)),DATE(Einstellungen!$B$3,8,25),""),"")</f>
        <v>46259</v>
      </c>
      <c r="B29" s="23" t="str">
        <f>IF(A29="","",TEXT(A29,"TTT"))</f>
        <v>Di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IFERROR(IF(26&lt;=DAY(EOMONTH(DATE(Einstellungen!$B$3,8,1),0)),DATE(Einstellungen!$B$3,8,26),""),"")</f>
        <v>46260</v>
      </c>
      <c r="B30" s="27" t="str">
        <f>IF(A30="","",TEXT(A30,"TTT"))</f>
        <v>Mi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IFERROR(IF(27&lt;=DAY(EOMONTH(DATE(Einstellungen!$B$3,8,1),0)),DATE(Einstellungen!$B$3,8,27),""),"")</f>
        <v>46261</v>
      </c>
      <c r="B31" s="23" t="str">
        <f>IF(A31="","",TEXT(A31,"TTT"))</f>
        <v>Do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IFERROR(IF(28&lt;=DAY(EOMONTH(DATE(Einstellungen!$B$3,8,1),0)),DATE(Einstellungen!$B$3,8,28),""),"")</f>
        <v>46262</v>
      </c>
      <c r="B32" s="27" t="str">
        <f>IF(A32="","",TEXT(A32,"TTT"))</f>
        <v>Fr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IFERROR(IF(29&lt;=DAY(EOMONTH(DATE(Einstellungen!$B$3,8,1),0)),DATE(Einstellungen!$B$3,8,29),""),"")</f>
        <v>46263</v>
      </c>
      <c r="B33" s="23" t="str">
        <f>IF(A33="","",TEXT(A33,"TTT"))</f>
        <v>Sa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IFERROR(IF(30&lt;=DAY(EOMONTH(DATE(Einstellungen!$B$3,8,1),0)),DATE(Einstellungen!$B$3,8,30),""),"")</f>
        <v>46264</v>
      </c>
      <c r="B34" s="27" t="str">
        <f>IF(A34="","",TEXT(A34,"TTT"))</f>
        <v>So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IFERROR(IF(31&lt;=DAY(EOMONTH(DATE(Einstellungen!$B$3,8,1),0)),DATE(Einstellungen!$B$3,8,31),""),"")</f>
        <v>46265</v>
      </c>
      <c r="B35" s="23" t="str">
        <f>IF(A35="","",TEXT(A35,"TTT"))</f>
        <v>Mo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9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"September " &amp; TEXT(Einstellungen!$B$3,"0")</f>
        <v>September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IFERROR(IF(1&lt;=DAY(EOMONTH(DATE(Einstellungen!$B$3,9,1),0)),DATE(Einstellungen!$B$3,9,1),""),"")</f>
        <v>46266</v>
      </c>
      <c r="B5" s="23" t="str">
        <f>IF(A5="","",TEXT(A5,"TTT"))</f>
        <v>Di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IFERROR(IF(2&lt;=DAY(EOMONTH(DATE(Einstellungen!$B$3,9,1),0)),DATE(Einstellungen!$B$3,9,2),""),"")</f>
        <v>46267</v>
      </c>
      <c r="B6" s="27" t="str">
        <f>IF(A6="","",TEXT(A6,"TTT"))</f>
        <v>Mi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IFERROR(IF(3&lt;=DAY(EOMONTH(DATE(Einstellungen!$B$3,9,1),0)),DATE(Einstellungen!$B$3,9,3),""),"")</f>
        <v>46268</v>
      </c>
      <c r="B7" s="23" t="str">
        <f>IF(A7="","",TEXT(A7,"TTT"))</f>
        <v>Do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IFERROR(IF(4&lt;=DAY(EOMONTH(DATE(Einstellungen!$B$3,9,1),0)),DATE(Einstellungen!$B$3,9,4),""),"")</f>
        <v>46269</v>
      </c>
      <c r="B8" s="27" t="str">
        <f>IF(A8="","",TEXT(A8,"TTT"))</f>
        <v>Fr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IFERROR(IF(5&lt;=DAY(EOMONTH(DATE(Einstellungen!$B$3,9,1),0)),DATE(Einstellungen!$B$3,9,5),""),"")</f>
        <v>46270</v>
      </c>
      <c r="B9" s="23" t="str">
        <f>IF(A9="","",TEXT(A9,"TTT"))</f>
        <v>Sa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IFERROR(IF(6&lt;=DAY(EOMONTH(DATE(Einstellungen!$B$3,9,1),0)),DATE(Einstellungen!$B$3,9,6),""),"")</f>
        <v>46271</v>
      </c>
      <c r="B10" s="27" t="str">
        <f>IF(A10="","",TEXT(A10,"TTT"))</f>
        <v>So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IFERROR(IF(7&lt;=DAY(EOMONTH(DATE(Einstellungen!$B$3,9,1),0)),DATE(Einstellungen!$B$3,9,7),""),"")</f>
        <v>46272</v>
      </c>
      <c r="B11" s="23" t="str">
        <f>IF(A11="","",TEXT(A11,"TTT"))</f>
        <v>Mo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IFERROR(IF(8&lt;=DAY(EOMONTH(DATE(Einstellungen!$B$3,9,1),0)),DATE(Einstellungen!$B$3,9,8),""),"")</f>
        <v>46273</v>
      </c>
      <c r="B12" s="27" t="str">
        <f>IF(A12="","",TEXT(A12,"TTT"))</f>
        <v>Di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IFERROR(IF(9&lt;=DAY(EOMONTH(DATE(Einstellungen!$B$3,9,1),0)),DATE(Einstellungen!$B$3,9,9),""),"")</f>
        <v>46274</v>
      </c>
      <c r="B13" s="23" t="str">
        <f>IF(A13="","",TEXT(A13,"TTT"))</f>
        <v>Mi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IFERROR(IF(10&lt;=DAY(EOMONTH(DATE(Einstellungen!$B$3,9,1),0)),DATE(Einstellungen!$B$3,9,10),""),"")</f>
        <v>46275</v>
      </c>
      <c r="B14" s="27" t="str">
        <f>IF(A14="","",TEXT(A14,"TTT"))</f>
        <v>Do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IFERROR(IF(11&lt;=DAY(EOMONTH(DATE(Einstellungen!$B$3,9,1),0)),DATE(Einstellungen!$B$3,9,11),""),"")</f>
        <v>46276</v>
      </c>
      <c r="B15" s="23" t="str">
        <f>IF(A15="","",TEXT(A15,"TTT"))</f>
        <v>Fr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IFERROR(IF(12&lt;=DAY(EOMONTH(DATE(Einstellungen!$B$3,9,1),0)),DATE(Einstellungen!$B$3,9,12),""),"")</f>
        <v>46277</v>
      </c>
      <c r="B16" s="27" t="str">
        <f>IF(A16="","",TEXT(A16,"TTT"))</f>
        <v>Sa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IFERROR(IF(13&lt;=DAY(EOMONTH(DATE(Einstellungen!$B$3,9,1),0)),DATE(Einstellungen!$B$3,9,13),""),"")</f>
        <v>46278</v>
      </c>
      <c r="B17" s="23" t="str">
        <f>IF(A17="","",TEXT(A17,"TTT"))</f>
        <v>So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IFERROR(IF(14&lt;=DAY(EOMONTH(DATE(Einstellungen!$B$3,9,1),0)),DATE(Einstellungen!$B$3,9,14),""),"")</f>
        <v>46279</v>
      </c>
      <c r="B18" s="27" t="str">
        <f>IF(A18="","",TEXT(A18,"TTT"))</f>
        <v>Mo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IFERROR(IF(15&lt;=DAY(EOMONTH(DATE(Einstellungen!$B$3,9,1),0)),DATE(Einstellungen!$B$3,9,15),""),"")</f>
        <v>46280</v>
      </c>
      <c r="B19" s="23" t="str">
        <f>IF(A19="","",TEXT(A19,"TTT"))</f>
        <v>Di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IFERROR(IF(16&lt;=DAY(EOMONTH(DATE(Einstellungen!$B$3,9,1),0)),DATE(Einstellungen!$B$3,9,16),""),"")</f>
        <v>46281</v>
      </c>
      <c r="B20" s="27" t="str">
        <f>IF(A20="","",TEXT(A20,"TTT"))</f>
        <v>Mi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IFERROR(IF(17&lt;=DAY(EOMONTH(DATE(Einstellungen!$B$3,9,1),0)),DATE(Einstellungen!$B$3,9,17),""),"")</f>
        <v>46282</v>
      </c>
      <c r="B21" s="23" t="str">
        <f>IF(A21="","",TEXT(A21,"TTT"))</f>
        <v>Do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IFERROR(IF(18&lt;=DAY(EOMONTH(DATE(Einstellungen!$B$3,9,1),0)),DATE(Einstellungen!$B$3,9,18),""),"")</f>
        <v>46283</v>
      </c>
      <c r="B22" s="27" t="str">
        <f>IF(A22="","",TEXT(A22,"TTT"))</f>
        <v>Fr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IFERROR(IF(19&lt;=DAY(EOMONTH(DATE(Einstellungen!$B$3,9,1),0)),DATE(Einstellungen!$B$3,9,19),""),"")</f>
        <v>46284</v>
      </c>
      <c r="B23" s="23" t="str">
        <f>IF(A23="","",TEXT(A23,"TTT"))</f>
        <v>Sa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IFERROR(IF(20&lt;=DAY(EOMONTH(DATE(Einstellungen!$B$3,9,1),0)),DATE(Einstellungen!$B$3,9,20),""),"")</f>
        <v>46285</v>
      </c>
      <c r="B24" s="27" t="str">
        <f>IF(A24="","",TEXT(A24,"TTT"))</f>
        <v>So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IFERROR(IF(21&lt;=DAY(EOMONTH(DATE(Einstellungen!$B$3,9,1),0)),DATE(Einstellungen!$B$3,9,21),""),"")</f>
        <v>46286</v>
      </c>
      <c r="B25" s="23" t="str">
        <f>IF(A25="","",TEXT(A25,"TTT"))</f>
        <v>Mo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IFERROR(IF(22&lt;=DAY(EOMONTH(DATE(Einstellungen!$B$3,9,1),0)),DATE(Einstellungen!$B$3,9,22),""),"")</f>
        <v>46287</v>
      </c>
      <c r="B26" s="27" t="str">
        <f>IF(A26="","",TEXT(A26,"TTT"))</f>
        <v>Di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IFERROR(IF(23&lt;=DAY(EOMONTH(DATE(Einstellungen!$B$3,9,1),0)),DATE(Einstellungen!$B$3,9,23),""),"")</f>
        <v>46288</v>
      </c>
      <c r="B27" s="23" t="str">
        <f>IF(A27="","",TEXT(A27,"TTT"))</f>
        <v>Mi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IFERROR(IF(24&lt;=DAY(EOMONTH(DATE(Einstellungen!$B$3,9,1),0)),DATE(Einstellungen!$B$3,9,24),""),"")</f>
        <v>46289</v>
      </c>
      <c r="B28" s="27" t="str">
        <f>IF(A28="","",TEXT(A28,"TTT"))</f>
        <v>Do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IFERROR(IF(25&lt;=DAY(EOMONTH(DATE(Einstellungen!$B$3,9,1),0)),DATE(Einstellungen!$B$3,9,25),""),"")</f>
        <v>46290</v>
      </c>
      <c r="B29" s="23" t="str">
        <f>IF(A29="","",TEXT(A29,"TTT"))</f>
        <v>Fr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IFERROR(IF(26&lt;=DAY(EOMONTH(DATE(Einstellungen!$B$3,9,1),0)),DATE(Einstellungen!$B$3,9,26),""),"")</f>
        <v>46291</v>
      </c>
      <c r="B30" s="27" t="str">
        <f>IF(A30="","",TEXT(A30,"TTT"))</f>
        <v>Sa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IFERROR(IF(27&lt;=DAY(EOMONTH(DATE(Einstellungen!$B$3,9,1),0)),DATE(Einstellungen!$B$3,9,27),""),"")</f>
        <v>46292</v>
      </c>
      <c r="B31" s="23" t="str">
        <f>IF(A31="","",TEXT(A31,"TTT"))</f>
        <v>So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IFERROR(IF(28&lt;=DAY(EOMONTH(DATE(Einstellungen!$B$3,9,1),0)),DATE(Einstellungen!$B$3,9,28),""),"")</f>
        <v>46293</v>
      </c>
      <c r="B32" s="27" t="str">
        <f>IF(A32="","",TEXT(A32,"TTT"))</f>
        <v>Mo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IFERROR(IF(29&lt;=DAY(EOMONTH(DATE(Einstellungen!$B$3,9,1),0)),DATE(Einstellungen!$B$3,9,29),""),"")</f>
        <v>46294</v>
      </c>
      <c r="B33" s="23" t="str">
        <f>IF(A33="","",TEXT(A33,"TTT"))</f>
        <v>Di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IFERROR(IF(30&lt;=DAY(EOMONTH(DATE(Einstellungen!$B$3,9,1),0)),DATE(Einstellungen!$B$3,9,30),""),"")</f>
        <v>46295</v>
      </c>
      <c r="B34" s="27" t="str">
        <f>IF(A34="","",TEXT(A34,"TTT"))</f>
        <v>Mi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 t="str">
        <f>IFERROR(IF(31&lt;=DAY(EOMONTH(DATE(Einstellungen!$B$3,9,1),0)),DATE(Einstellungen!$B$3,9,31),""),"")</f>
        <v/>
      </c>
      <c r="B35" s="23" t="str">
        <f>IF(A35="","",TEXT(A35,"TTT"))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16" t="str">
        <f>IF(A35="","",IFERROR(SUM(C35:K35),0))</f>
        <v/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A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"Oktober " &amp; TEXT(Einstellungen!$B$3,"0")</f>
        <v>Oktober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IFERROR(IF(1&lt;=DAY(EOMONTH(DATE(Einstellungen!$B$3,10,1),0)),DATE(Einstellungen!$B$3,10,1),""),"")</f>
        <v>46296</v>
      </c>
      <c r="B5" s="23" t="str">
        <f>IF(A5="","",TEXT(A5,"TTT"))</f>
        <v>Do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IFERROR(IF(2&lt;=DAY(EOMONTH(DATE(Einstellungen!$B$3,10,1),0)),DATE(Einstellungen!$B$3,10,2),""),"")</f>
        <v>46297</v>
      </c>
      <c r="B6" s="27" t="str">
        <f>IF(A6="","",TEXT(A6,"TTT"))</f>
        <v>Fr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IFERROR(IF(3&lt;=DAY(EOMONTH(DATE(Einstellungen!$B$3,10,1),0)),DATE(Einstellungen!$B$3,10,3),""),"")</f>
        <v>46298</v>
      </c>
      <c r="B7" s="23" t="str">
        <f>IF(A7="","",TEXT(A7,"TTT"))</f>
        <v>Sa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IFERROR(IF(4&lt;=DAY(EOMONTH(DATE(Einstellungen!$B$3,10,1),0)),DATE(Einstellungen!$B$3,10,4),""),"")</f>
        <v>46299</v>
      </c>
      <c r="B8" s="27" t="str">
        <f>IF(A8="","",TEXT(A8,"TTT"))</f>
        <v>So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IFERROR(IF(5&lt;=DAY(EOMONTH(DATE(Einstellungen!$B$3,10,1),0)),DATE(Einstellungen!$B$3,10,5),""),"")</f>
        <v>46300</v>
      </c>
      <c r="B9" s="23" t="str">
        <f>IF(A9="","",TEXT(A9,"TTT"))</f>
        <v>Mo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IFERROR(IF(6&lt;=DAY(EOMONTH(DATE(Einstellungen!$B$3,10,1),0)),DATE(Einstellungen!$B$3,10,6),""),"")</f>
        <v>46301</v>
      </c>
      <c r="B10" s="27" t="str">
        <f>IF(A10="","",TEXT(A10,"TTT"))</f>
        <v>Di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IFERROR(IF(7&lt;=DAY(EOMONTH(DATE(Einstellungen!$B$3,10,1),0)),DATE(Einstellungen!$B$3,10,7),""),"")</f>
        <v>46302</v>
      </c>
      <c r="B11" s="23" t="str">
        <f>IF(A11="","",TEXT(A11,"TTT"))</f>
        <v>Mi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IFERROR(IF(8&lt;=DAY(EOMONTH(DATE(Einstellungen!$B$3,10,1),0)),DATE(Einstellungen!$B$3,10,8),""),"")</f>
        <v>46303</v>
      </c>
      <c r="B12" s="27" t="str">
        <f>IF(A12="","",TEXT(A12,"TTT"))</f>
        <v>Do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IFERROR(IF(9&lt;=DAY(EOMONTH(DATE(Einstellungen!$B$3,10,1),0)),DATE(Einstellungen!$B$3,10,9),""),"")</f>
        <v>46304</v>
      </c>
      <c r="B13" s="23" t="str">
        <f>IF(A13="","",TEXT(A13,"TTT"))</f>
        <v>Fr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IFERROR(IF(10&lt;=DAY(EOMONTH(DATE(Einstellungen!$B$3,10,1),0)),DATE(Einstellungen!$B$3,10,10),""),"")</f>
        <v>46305</v>
      </c>
      <c r="B14" s="27" t="str">
        <f>IF(A14="","",TEXT(A14,"TTT"))</f>
        <v>Sa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IFERROR(IF(11&lt;=DAY(EOMONTH(DATE(Einstellungen!$B$3,10,1),0)),DATE(Einstellungen!$B$3,10,11),""),"")</f>
        <v>46306</v>
      </c>
      <c r="B15" s="23" t="str">
        <f>IF(A15="","",TEXT(A15,"TTT"))</f>
        <v>So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IFERROR(IF(12&lt;=DAY(EOMONTH(DATE(Einstellungen!$B$3,10,1),0)),DATE(Einstellungen!$B$3,10,12),""),"")</f>
        <v>46307</v>
      </c>
      <c r="B16" s="27" t="str">
        <f>IF(A16="","",TEXT(A16,"TTT"))</f>
        <v>Mo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IFERROR(IF(13&lt;=DAY(EOMONTH(DATE(Einstellungen!$B$3,10,1),0)),DATE(Einstellungen!$B$3,10,13),""),"")</f>
        <v>46308</v>
      </c>
      <c r="B17" s="23" t="str">
        <f>IF(A17="","",TEXT(A17,"TTT"))</f>
        <v>Di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IFERROR(IF(14&lt;=DAY(EOMONTH(DATE(Einstellungen!$B$3,10,1),0)),DATE(Einstellungen!$B$3,10,14),""),"")</f>
        <v>46309</v>
      </c>
      <c r="B18" s="27" t="str">
        <f>IF(A18="","",TEXT(A18,"TTT"))</f>
        <v>Mi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IFERROR(IF(15&lt;=DAY(EOMONTH(DATE(Einstellungen!$B$3,10,1),0)),DATE(Einstellungen!$B$3,10,15),""),"")</f>
        <v>46310</v>
      </c>
      <c r="B19" s="23" t="str">
        <f>IF(A19="","",TEXT(A19,"TTT"))</f>
        <v>Do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IFERROR(IF(16&lt;=DAY(EOMONTH(DATE(Einstellungen!$B$3,10,1),0)),DATE(Einstellungen!$B$3,10,16),""),"")</f>
        <v>46311</v>
      </c>
      <c r="B20" s="27" t="str">
        <f>IF(A20="","",TEXT(A20,"TTT"))</f>
        <v>Fr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IFERROR(IF(17&lt;=DAY(EOMONTH(DATE(Einstellungen!$B$3,10,1),0)),DATE(Einstellungen!$B$3,10,17),""),"")</f>
        <v>46312</v>
      </c>
      <c r="B21" s="23" t="str">
        <f>IF(A21="","",TEXT(A21,"TTT"))</f>
        <v>Sa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IFERROR(IF(18&lt;=DAY(EOMONTH(DATE(Einstellungen!$B$3,10,1),0)),DATE(Einstellungen!$B$3,10,18),""),"")</f>
        <v>46313</v>
      </c>
      <c r="B22" s="27" t="str">
        <f>IF(A22="","",TEXT(A22,"TTT"))</f>
        <v>So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IFERROR(IF(19&lt;=DAY(EOMONTH(DATE(Einstellungen!$B$3,10,1),0)),DATE(Einstellungen!$B$3,10,19),""),"")</f>
        <v>46314</v>
      </c>
      <c r="B23" s="23" t="str">
        <f>IF(A23="","",TEXT(A23,"TTT"))</f>
        <v>Mo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IFERROR(IF(20&lt;=DAY(EOMONTH(DATE(Einstellungen!$B$3,10,1),0)),DATE(Einstellungen!$B$3,10,20),""),"")</f>
        <v>46315</v>
      </c>
      <c r="B24" s="27" t="str">
        <f>IF(A24="","",TEXT(A24,"TTT"))</f>
        <v>Di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IFERROR(IF(21&lt;=DAY(EOMONTH(DATE(Einstellungen!$B$3,10,1),0)),DATE(Einstellungen!$B$3,10,21),""),"")</f>
        <v>46316</v>
      </c>
      <c r="B25" s="23" t="str">
        <f>IF(A25="","",TEXT(A25,"TTT"))</f>
        <v>Mi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IFERROR(IF(22&lt;=DAY(EOMONTH(DATE(Einstellungen!$B$3,10,1),0)),DATE(Einstellungen!$B$3,10,22),""),"")</f>
        <v>46317</v>
      </c>
      <c r="B26" s="27" t="str">
        <f>IF(A26="","",TEXT(A26,"TTT"))</f>
        <v>Do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IFERROR(IF(23&lt;=DAY(EOMONTH(DATE(Einstellungen!$B$3,10,1),0)),DATE(Einstellungen!$B$3,10,23),""),"")</f>
        <v>46318</v>
      </c>
      <c r="B27" s="23" t="str">
        <f>IF(A27="","",TEXT(A27,"TTT"))</f>
        <v>Fr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IFERROR(IF(24&lt;=DAY(EOMONTH(DATE(Einstellungen!$B$3,10,1),0)),DATE(Einstellungen!$B$3,10,24),""),"")</f>
        <v>46319</v>
      </c>
      <c r="B28" s="27" t="str">
        <f>IF(A28="","",TEXT(A28,"TTT"))</f>
        <v>Sa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IFERROR(IF(25&lt;=DAY(EOMONTH(DATE(Einstellungen!$B$3,10,1),0)),DATE(Einstellungen!$B$3,10,25),""),"")</f>
        <v>46320</v>
      </c>
      <c r="B29" s="23" t="str">
        <f>IF(A29="","",TEXT(A29,"TTT"))</f>
        <v>So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IFERROR(IF(26&lt;=DAY(EOMONTH(DATE(Einstellungen!$B$3,10,1),0)),DATE(Einstellungen!$B$3,10,26),""),"")</f>
        <v>46321</v>
      </c>
      <c r="B30" s="27" t="str">
        <f>IF(A30="","",TEXT(A30,"TTT"))</f>
        <v>Mo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IFERROR(IF(27&lt;=DAY(EOMONTH(DATE(Einstellungen!$B$3,10,1),0)),DATE(Einstellungen!$B$3,10,27),""),"")</f>
        <v>46322</v>
      </c>
      <c r="B31" s="23" t="str">
        <f>IF(A31="","",TEXT(A31,"TTT"))</f>
        <v>Di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IFERROR(IF(28&lt;=DAY(EOMONTH(DATE(Einstellungen!$B$3,10,1),0)),DATE(Einstellungen!$B$3,10,28),""),"")</f>
        <v>46323</v>
      </c>
      <c r="B32" s="27" t="str">
        <f>IF(A32="","",TEXT(A32,"TTT"))</f>
        <v>Mi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IFERROR(IF(29&lt;=DAY(EOMONTH(DATE(Einstellungen!$B$3,10,1),0)),DATE(Einstellungen!$B$3,10,29),""),"")</f>
        <v>46324</v>
      </c>
      <c r="B33" s="23" t="str">
        <f>IF(A33="","",TEXT(A33,"TTT"))</f>
        <v>Do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IFERROR(IF(30&lt;=DAY(EOMONTH(DATE(Einstellungen!$B$3,10,1),0)),DATE(Einstellungen!$B$3,10,30),""),"")</f>
        <v>46325</v>
      </c>
      <c r="B34" s="27" t="str">
        <f>IF(A34="","",TEXT(A34,"TTT"))</f>
        <v>Fr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IFERROR(IF(31&lt;=DAY(EOMONTH(DATE(Einstellungen!$B$3,10,1),0)),DATE(Einstellungen!$B$3,10,31),""),"")</f>
        <v>46326</v>
      </c>
      <c r="B35" s="23" t="str">
        <f>IF(A35="","",TEXT(A35,"TTT"))</f>
        <v>Sa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B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"November " &amp; TEXT(Einstellungen!$B$3,"0")</f>
        <v>November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IFERROR(IF(1&lt;=DAY(EOMONTH(DATE(Einstellungen!$B$3,11,1),0)),DATE(Einstellungen!$B$3,11,1),""),"")</f>
        <v>46327</v>
      </c>
      <c r="B5" s="23" t="str">
        <f>IF(A5="","",TEXT(A5,"TTT"))</f>
        <v>So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IFERROR(IF(2&lt;=DAY(EOMONTH(DATE(Einstellungen!$B$3,11,1),0)),DATE(Einstellungen!$B$3,11,2),""),"")</f>
        <v>46328</v>
      </c>
      <c r="B6" s="27" t="str">
        <f>IF(A6="","",TEXT(A6,"TTT"))</f>
        <v>Mo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IFERROR(IF(3&lt;=DAY(EOMONTH(DATE(Einstellungen!$B$3,11,1),0)),DATE(Einstellungen!$B$3,11,3),""),"")</f>
        <v>46329</v>
      </c>
      <c r="B7" s="23" t="str">
        <f>IF(A7="","",TEXT(A7,"TTT"))</f>
        <v>Di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IFERROR(IF(4&lt;=DAY(EOMONTH(DATE(Einstellungen!$B$3,11,1),0)),DATE(Einstellungen!$B$3,11,4),""),"")</f>
        <v>46330</v>
      </c>
      <c r="B8" s="27" t="str">
        <f>IF(A8="","",TEXT(A8,"TTT"))</f>
        <v>Mi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IFERROR(IF(5&lt;=DAY(EOMONTH(DATE(Einstellungen!$B$3,11,1),0)),DATE(Einstellungen!$B$3,11,5),""),"")</f>
        <v>46331</v>
      </c>
      <c r="B9" s="23" t="str">
        <f>IF(A9="","",TEXT(A9,"TTT"))</f>
        <v>Do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IFERROR(IF(6&lt;=DAY(EOMONTH(DATE(Einstellungen!$B$3,11,1),0)),DATE(Einstellungen!$B$3,11,6),""),"")</f>
        <v>46332</v>
      </c>
      <c r="B10" s="27" t="str">
        <f>IF(A10="","",TEXT(A10,"TTT"))</f>
        <v>Fr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IFERROR(IF(7&lt;=DAY(EOMONTH(DATE(Einstellungen!$B$3,11,1),0)),DATE(Einstellungen!$B$3,11,7),""),"")</f>
        <v>46333</v>
      </c>
      <c r="B11" s="23" t="str">
        <f>IF(A11="","",TEXT(A11,"TTT"))</f>
        <v>Sa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IFERROR(IF(8&lt;=DAY(EOMONTH(DATE(Einstellungen!$B$3,11,1),0)),DATE(Einstellungen!$B$3,11,8),""),"")</f>
        <v>46334</v>
      </c>
      <c r="B12" s="27" t="str">
        <f>IF(A12="","",TEXT(A12,"TTT"))</f>
        <v>So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IFERROR(IF(9&lt;=DAY(EOMONTH(DATE(Einstellungen!$B$3,11,1),0)),DATE(Einstellungen!$B$3,11,9),""),"")</f>
        <v>46335</v>
      </c>
      <c r="B13" s="23" t="str">
        <f>IF(A13="","",TEXT(A13,"TTT"))</f>
        <v>Mo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IFERROR(IF(10&lt;=DAY(EOMONTH(DATE(Einstellungen!$B$3,11,1),0)),DATE(Einstellungen!$B$3,11,10),""),"")</f>
        <v>46336</v>
      </c>
      <c r="B14" s="27" t="str">
        <f>IF(A14="","",TEXT(A14,"TTT"))</f>
        <v>Di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IFERROR(IF(11&lt;=DAY(EOMONTH(DATE(Einstellungen!$B$3,11,1),0)),DATE(Einstellungen!$B$3,11,11),""),"")</f>
        <v>46337</v>
      </c>
      <c r="B15" s="23" t="str">
        <f>IF(A15="","",TEXT(A15,"TTT"))</f>
        <v>Mi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IFERROR(IF(12&lt;=DAY(EOMONTH(DATE(Einstellungen!$B$3,11,1),0)),DATE(Einstellungen!$B$3,11,12),""),"")</f>
        <v>46338</v>
      </c>
      <c r="B16" s="27" t="str">
        <f>IF(A16="","",TEXT(A16,"TTT"))</f>
        <v>Do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IFERROR(IF(13&lt;=DAY(EOMONTH(DATE(Einstellungen!$B$3,11,1),0)),DATE(Einstellungen!$B$3,11,13),""),"")</f>
        <v>46339</v>
      </c>
      <c r="B17" s="23" t="str">
        <f>IF(A17="","",TEXT(A17,"TTT"))</f>
        <v>Fr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IFERROR(IF(14&lt;=DAY(EOMONTH(DATE(Einstellungen!$B$3,11,1),0)),DATE(Einstellungen!$B$3,11,14),""),"")</f>
        <v>46340</v>
      </c>
      <c r="B18" s="27" t="str">
        <f>IF(A18="","",TEXT(A18,"TTT"))</f>
        <v>Sa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IFERROR(IF(15&lt;=DAY(EOMONTH(DATE(Einstellungen!$B$3,11,1),0)),DATE(Einstellungen!$B$3,11,15),""),"")</f>
        <v>46341</v>
      </c>
      <c r="B19" s="23" t="str">
        <f>IF(A19="","",TEXT(A19,"TTT"))</f>
        <v>So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IFERROR(IF(16&lt;=DAY(EOMONTH(DATE(Einstellungen!$B$3,11,1),0)),DATE(Einstellungen!$B$3,11,16),""),"")</f>
        <v>46342</v>
      </c>
      <c r="B20" s="27" t="str">
        <f>IF(A20="","",TEXT(A20,"TTT"))</f>
        <v>Mo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IFERROR(IF(17&lt;=DAY(EOMONTH(DATE(Einstellungen!$B$3,11,1),0)),DATE(Einstellungen!$B$3,11,17),""),"")</f>
        <v>46343</v>
      </c>
      <c r="B21" s="23" t="str">
        <f>IF(A21="","",TEXT(A21,"TTT"))</f>
        <v>Di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IFERROR(IF(18&lt;=DAY(EOMONTH(DATE(Einstellungen!$B$3,11,1),0)),DATE(Einstellungen!$B$3,11,18),""),"")</f>
        <v>46344</v>
      </c>
      <c r="B22" s="27" t="str">
        <f>IF(A22="","",TEXT(A22,"TTT"))</f>
        <v>Mi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IFERROR(IF(19&lt;=DAY(EOMONTH(DATE(Einstellungen!$B$3,11,1),0)),DATE(Einstellungen!$B$3,11,19),""),"")</f>
        <v>46345</v>
      </c>
      <c r="B23" s="23" t="str">
        <f>IF(A23="","",TEXT(A23,"TTT"))</f>
        <v>Do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IFERROR(IF(20&lt;=DAY(EOMONTH(DATE(Einstellungen!$B$3,11,1),0)),DATE(Einstellungen!$B$3,11,20),""),"")</f>
        <v>46346</v>
      </c>
      <c r="B24" s="27" t="str">
        <f>IF(A24="","",TEXT(A24,"TTT"))</f>
        <v>Fr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IFERROR(IF(21&lt;=DAY(EOMONTH(DATE(Einstellungen!$B$3,11,1),0)),DATE(Einstellungen!$B$3,11,21),""),"")</f>
        <v>46347</v>
      </c>
      <c r="B25" s="23" t="str">
        <f>IF(A25="","",TEXT(A25,"TTT"))</f>
        <v>Sa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IFERROR(IF(22&lt;=DAY(EOMONTH(DATE(Einstellungen!$B$3,11,1),0)),DATE(Einstellungen!$B$3,11,22),""),"")</f>
        <v>46348</v>
      </c>
      <c r="B26" s="27" t="str">
        <f>IF(A26="","",TEXT(A26,"TTT"))</f>
        <v>So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IFERROR(IF(23&lt;=DAY(EOMONTH(DATE(Einstellungen!$B$3,11,1),0)),DATE(Einstellungen!$B$3,11,23),""),"")</f>
        <v>46349</v>
      </c>
      <c r="B27" s="23" t="str">
        <f>IF(A27="","",TEXT(A27,"TTT"))</f>
        <v>Mo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IFERROR(IF(24&lt;=DAY(EOMONTH(DATE(Einstellungen!$B$3,11,1),0)),DATE(Einstellungen!$B$3,11,24),""),"")</f>
        <v>46350</v>
      </c>
      <c r="B28" s="27" t="str">
        <f>IF(A28="","",TEXT(A28,"TTT"))</f>
        <v>Di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IFERROR(IF(25&lt;=DAY(EOMONTH(DATE(Einstellungen!$B$3,11,1),0)),DATE(Einstellungen!$B$3,11,25),""),"")</f>
        <v>46351</v>
      </c>
      <c r="B29" s="23" t="str">
        <f>IF(A29="","",TEXT(A29,"TTT"))</f>
        <v>Mi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IFERROR(IF(26&lt;=DAY(EOMONTH(DATE(Einstellungen!$B$3,11,1),0)),DATE(Einstellungen!$B$3,11,26),""),"")</f>
        <v>46352</v>
      </c>
      <c r="B30" s="27" t="str">
        <f>IF(A30="","",TEXT(A30,"TTT"))</f>
        <v>Do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IFERROR(IF(27&lt;=DAY(EOMONTH(DATE(Einstellungen!$B$3,11,1),0)),DATE(Einstellungen!$B$3,11,27),""),"")</f>
        <v>46353</v>
      </c>
      <c r="B31" s="23" t="str">
        <f>IF(A31="","",TEXT(A31,"TTT"))</f>
        <v>Fr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IFERROR(IF(28&lt;=DAY(EOMONTH(DATE(Einstellungen!$B$3,11,1),0)),DATE(Einstellungen!$B$3,11,28),""),"")</f>
        <v>46354</v>
      </c>
      <c r="B32" s="27" t="str">
        <f>IF(A32="","",TEXT(A32,"TTT"))</f>
        <v>Sa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IFERROR(IF(29&lt;=DAY(EOMONTH(DATE(Einstellungen!$B$3,11,1),0)),DATE(Einstellungen!$B$3,11,29),""),"")</f>
        <v>46355</v>
      </c>
      <c r="B33" s="23" t="str">
        <f>IF(A33="","",TEXT(A33,"TTT"))</f>
        <v>So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IFERROR(IF(30&lt;=DAY(EOMONTH(DATE(Einstellungen!$B$3,11,1),0)),DATE(Einstellungen!$B$3,11,30),""),"")</f>
        <v>46356</v>
      </c>
      <c r="B34" s="27" t="str">
        <f>IF(A34="","",TEXT(A34,"TTT"))</f>
        <v>Mo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 t="str">
        <f>IFERROR(IF(31&lt;=DAY(EOMONTH(DATE(Einstellungen!$B$3,11,1),0)),DATE(Einstellungen!$B$3,11,31),""),"")</f>
        <v/>
      </c>
      <c r="B35" s="23" t="str">
        <f>IF(A35="","",TEXT(A35,"TTT"))</f>
        <v/>
      </c>
      <c r="C35" s="24"/>
      <c r="D35" s="24"/>
      <c r="E35" s="24"/>
      <c r="F35" s="24"/>
      <c r="G35" s="24"/>
      <c r="H35" s="24"/>
      <c r="I35" s="24"/>
      <c r="J35" s="24"/>
      <c r="K35" s="24"/>
      <c r="L35" s="16" t="str">
        <f>IF(A35="","",IFERROR(SUM(C35:K35),0))</f>
        <v/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C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3"/>
  <sheetViews>
    <sheetView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13" customWidth="1"/>
    <col min="2" max="2" width="6" customWidth="1"/>
    <col min="3" max="12" width="14" customWidth="1"/>
    <col min="13" max="13" width="28" customWidth="1"/>
  </cols>
  <sheetData>
    <row r="1" spans="1:13" ht="31.5" customHeight="1">
      <c r="A1" s="2" t="str">
        <f>"Dezember " &amp; TEXT(Einstellungen!$B$3,"0")</f>
        <v>Dezember 2026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21.75" customHeight="1">
      <c r="A3" s="6" t="s">
        <v>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9.5" customHeight="1">
      <c r="A4" s="11" t="s">
        <v>77</v>
      </c>
      <c r="B4" s="11" t="s">
        <v>78</v>
      </c>
      <c r="C4" s="11" t="s">
        <v>6</v>
      </c>
      <c r="D4" s="11" t="s">
        <v>8</v>
      </c>
      <c r="E4" s="11" t="s">
        <v>10</v>
      </c>
      <c r="F4" s="11" t="s">
        <v>12</v>
      </c>
      <c r="G4" s="11" t="s">
        <v>14</v>
      </c>
      <c r="H4" s="11" t="s">
        <v>16</v>
      </c>
      <c r="I4" s="11" t="s">
        <v>18</v>
      </c>
      <c r="J4" s="11" t="s">
        <v>20</v>
      </c>
      <c r="K4" s="11" t="s">
        <v>22</v>
      </c>
      <c r="L4" s="11" t="s">
        <v>79</v>
      </c>
      <c r="M4" s="11" t="s">
        <v>80</v>
      </c>
    </row>
    <row r="5" spans="1:13">
      <c r="A5" s="22">
        <f>IFERROR(IF(1&lt;=DAY(EOMONTH(DATE(Einstellungen!$B$3,12,1),0)),DATE(Einstellungen!$B$3,12,1),""),"")</f>
        <v>46357</v>
      </c>
      <c r="B5" s="23" t="str">
        <f>IF(A5="","",TEXT(A5,"TTT"))</f>
        <v>Di</v>
      </c>
      <c r="C5" s="24"/>
      <c r="D5" s="24"/>
      <c r="E5" s="24"/>
      <c r="F5" s="24"/>
      <c r="G5" s="24"/>
      <c r="H5" s="24"/>
      <c r="I5" s="24"/>
      <c r="J5" s="24"/>
      <c r="K5" s="24"/>
      <c r="L5" s="16">
        <f>IF(A5="","",IFERROR(SUM(C5:K5),0))</f>
        <v>0</v>
      </c>
      <c r="M5" s="25"/>
    </row>
    <row r="6" spans="1:13">
      <c r="A6" s="26">
        <f>IFERROR(IF(2&lt;=DAY(EOMONTH(DATE(Einstellungen!$B$3,12,1),0)),DATE(Einstellungen!$B$3,12,2),""),"")</f>
        <v>46358</v>
      </c>
      <c r="B6" s="27" t="str">
        <f>IF(A6="","",TEXT(A6,"TTT"))</f>
        <v>Mi</v>
      </c>
      <c r="C6" s="28"/>
      <c r="D6" s="28"/>
      <c r="E6" s="28"/>
      <c r="F6" s="28"/>
      <c r="G6" s="28"/>
      <c r="H6" s="28"/>
      <c r="I6" s="28"/>
      <c r="J6" s="28"/>
      <c r="K6" s="28"/>
      <c r="L6" s="16">
        <f>IF(A6="","",IFERROR(SUM(C6:K6),0))</f>
        <v>0</v>
      </c>
      <c r="M6" s="29"/>
    </row>
    <row r="7" spans="1:13">
      <c r="A7" s="22">
        <f>IFERROR(IF(3&lt;=DAY(EOMONTH(DATE(Einstellungen!$B$3,12,1),0)),DATE(Einstellungen!$B$3,12,3),""),"")</f>
        <v>46359</v>
      </c>
      <c r="B7" s="23" t="str">
        <f>IF(A7="","",TEXT(A7,"TTT"))</f>
        <v>Do</v>
      </c>
      <c r="C7" s="24"/>
      <c r="D7" s="24"/>
      <c r="E7" s="24"/>
      <c r="F7" s="24"/>
      <c r="G7" s="24"/>
      <c r="H7" s="24"/>
      <c r="I7" s="24"/>
      <c r="J7" s="24"/>
      <c r="K7" s="24"/>
      <c r="L7" s="16">
        <f>IF(A7="","",IFERROR(SUM(C7:K7),0))</f>
        <v>0</v>
      </c>
      <c r="M7" s="25"/>
    </row>
    <row r="8" spans="1:13">
      <c r="A8" s="26">
        <f>IFERROR(IF(4&lt;=DAY(EOMONTH(DATE(Einstellungen!$B$3,12,1),0)),DATE(Einstellungen!$B$3,12,4),""),"")</f>
        <v>46360</v>
      </c>
      <c r="B8" s="27" t="str">
        <f>IF(A8="","",TEXT(A8,"TTT"))</f>
        <v>Fr</v>
      </c>
      <c r="C8" s="28"/>
      <c r="D8" s="28"/>
      <c r="E8" s="28"/>
      <c r="F8" s="28"/>
      <c r="G8" s="28"/>
      <c r="H8" s="28"/>
      <c r="I8" s="28"/>
      <c r="J8" s="28"/>
      <c r="K8" s="28"/>
      <c r="L8" s="16">
        <f>IF(A8="","",IFERROR(SUM(C8:K8),0))</f>
        <v>0</v>
      </c>
      <c r="M8" s="29"/>
    </row>
    <row r="9" spans="1:13">
      <c r="A9" s="22">
        <f>IFERROR(IF(5&lt;=DAY(EOMONTH(DATE(Einstellungen!$B$3,12,1),0)),DATE(Einstellungen!$B$3,12,5),""),"")</f>
        <v>46361</v>
      </c>
      <c r="B9" s="23" t="str">
        <f>IF(A9="","",TEXT(A9,"TTT"))</f>
        <v>Sa</v>
      </c>
      <c r="C9" s="24"/>
      <c r="D9" s="24"/>
      <c r="E9" s="24"/>
      <c r="F9" s="24"/>
      <c r="G9" s="24"/>
      <c r="H9" s="24"/>
      <c r="I9" s="24"/>
      <c r="J9" s="24"/>
      <c r="K9" s="24"/>
      <c r="L9" s="16">
        <f>IF(A9="","",IFERROR(SUM(C9:K9),0))</f>
        <v>0</v>
      </c>
      <c r="M9" s="25"/>
    </row>
    <row r="10" spans="1:13">
      <c r="A10" s="26">
        <f>IFERROR(IF(6&lt;=DAY(EOMONTH(DATE(Einstellungen!$B$3,12,1),0)),DATE(Einstellungen!$B$3,12,6),""),"")</f>
        <v>46362</v>
      </c>
      <c r="B10" s="27" t="str">
        <f>IF(A10="","",TEXT(A10,"TTT"))</f>
        <v>So</v>
      </c>
      <c r="C10" s="28"/>
      <c r="D10" s="28"/>
      <c r="E10" s="28"/>
      <c r="F10" s="28"/>
      <c r="G10" s="28"/>
      <c r="H10" s="28"/>
      <c r="I10" s="28"/>
      <c r="J10" s="28"/>
      <c r="K10" s="28"/>
      <c r="L10" s="16">
        <f>IF(A10="","",IFERROR(SUM(C10:K10),0))</f>
        <v>0</v>
      </c>
      <c r="M10" s="29"/>
    </row>
    <row r="11" spans="1:13">
      <c r="A11" s="22">
        <f>IFERROR(IF(7&lt;=DAY(EOMONTH(DATE(Einstellungen!$B$3,12,1),0)),DATE(Einstellungen!$B$3,12,7),""),"")</f>
        <v>46363</v>
      </c>
      <c r="B11" s="23" t="str">
        <f>IF(A11="","",TEXT(A11,"TTT"))</f>
        <v>Mo</v>
      </c>
      <c r="C11" s="24"/>
      <c r="D11" s="24"/>
      <c r="E11" s="24"/>
      <c r="F11" s="24"/>
      <c r="G11" s="24"/>
      <c r="H11" s="24"/>
      <c r="I11" s="24"/>
      <c r="J11" s="24"/>
      <c r="K11" s="24"/>
      <c r="L11" s="16">
        <f>IF(A11="","",IFERROR(SUM(C11:K11),0))</f>
        <v>0</v>
      </c>
      <c r="M11" s="25"/>
    </row>
    <row r="12" spans="1:13">
      <c r="A12" s="26">
        <f>IFERROR(IF(8&lt;=DAY(EOMONTH(DATE(Einstellungen!$B$3,12,1),0)),DATE(Einstellungen!$B$3,12,8),""),"")</f>
        <v>46364</v>
      </c>
      <c r="B12" s="27" t="str">
        <f>IF(A12="","",TEXT(A12,"TTT"))</f>
        <v>Di</v>
      </c>
      <c r="C12" s="28"/>
      <c r="D12" s="28"/>
      <c r="E12" s="28"/>
      <c r="F12" s="28"/>
      <c r="G12" s="28"/>
      <c r="H12" s="28"/>
      <c r="I12" s="28"/>
      <c r="J12" s="28"/>
      <c r="K12" s="28"/>
      <c r="L12" s="16">
        <f>IF(A12="","",IFERROR(SUM(C12:K12),0))</f>
        <v>0</v>
      </c>
      <c r="M12" s="29"/>
    </row>
    <row r="13" spans="1:13">
      <c r="A13" s="22">
        <f>IFERROR(IF(9&lt;=DAY(EOMONTH(DATE(Einstellungen!$B$3,12,1),0)),DATE(Einstellungen!$B$3,12,9),""),"")</f>
        <v>46365</v>
      </c>
      <c r="B13" s="23" t="str">
        <f>IF(A13="","",TEXT(A13,"TTT"))</f>
        <v>Mi</v>
      </c>
      <c r="C13" s="24"/>
      <c r="D13" s="24"/>
      <c r="E13" s="24"/>
      <c r="F13" s="24"/>
      <c r="G13" s="24"/>
      <c r="H13" s="24"/>
      <c r="I13" s="24"/>
      <c r="J13" s="24"/>
      <c r="K13" s="24"/>
      <c r="L13" s="16">
        <f>IF(A13="","",IFERROR(SUM(C13:K13),0))</f>
        <v>0</v>
      </c>
      <c r="M13" s="25"/>
    </row>
    <row r="14" spans="1:13">
      <c r="A14" s="26">
        <f>IFERROR(IF(10&lt;=DAY(EOMONTH(DATE(Einstellungen!$B$3,12,1),0)),DATE(Einstellungen!$B$3,12,10),""),"")</f>
        <v>46366</v>
      </c>
      <c r="B14" s="27" t="str">
        <f>IF(A14="","",TEXT(A14,"TTT"))</f>
        <v>Do</v>
      </c>
      <c r="C14" s="28"/>
      <c r="D14" s="28"/>
      <c r="E14" s="28"/>
      <c r="F14" s="28"/>
      <c r="G14" s="28"/>
      <c r="H14" s="28"/>
      <c r="I14" s="28"/>
      <c r="J14" s="28"/>
      <c r="K14" s="28"/>
      <c r="L14" s="16">
        <f>IF(A14="","",IFERROR(SUM(C14:K14),0))</f>
        <v>0</v>
      </c>
      <c r="M14" s="29"/>
    </row>
    <row r="15" spans="1:13">
      <c r="A15" s="22">
        <f>IFERROR(IF(11&lt;=DAY(EOMONTH(DATE(Einstellungen!$B$3,12,1),0)),DATE(Einstellungen!$B$3,12,11),""),"")</f>
        <v>46367</v>
      </c>
      <c r="B15" s="23" t="str">
        <f>IF(A15="","",TEXT(A15,"TTT"))</f>
        <v>Fr</v>
      </c>
      <c r="C15" s="24"/>
      <c r="D15" s="24"/>
      <c r="E15" s="24"/>
      <c r="F15" s="24"/>
      <c r="G15" s="24"/>
      <c r="H15" s="24"/>
      <c r="I15" s="24"/>
      <c r="J15" s="24"/>
      <c r="K15" s="24"/>
      <c r="L15" s="16">
        <f>IF(A15="","",IFERROR(SUM(C15:K15),0))</f>
        <v>0</v>
      </c>
      <c r="M15" s="25"/>
    </row>
    <row r="16" spans="1:13">
      <c r="A16" s="26">
        <f>IFERROR(IF(12&lt;=DAY(EOMONTH(DATE(Einstellungen!$B$3,12,1),0)),DATE(Einstellungen!$B$3,12,12),""),"")</f>
        <v>46368</v>
      </c>
      <c r="B16" s="27" t="str">
        <f>IF(A16="","",TEXT(A16,"TTT"))</f>
        <v>Sa</v>
      </c>
      <c r="C16" s="28"/>
      <c r="D16" s="28"/>
      <c r="E16" s="28"/>
      <c r="F16" s="28"/>
      <c r="G16" s="28"/>
      <c r="H16" s="28"/>
      <c r="I16" s="28"/>
      <c r="J16" s="28"/>
      <c r="K16" s="28"/>
      <c r="L16" s="16">
        <f>IF(A16="","",IFERROR(SUM(C16:K16),0))</f>
        <v>0</v>
      </c>
      <c r="M16" s="29"/>
    </row>
    <row r="17" spans="1:13">
      <c r="A17" s="22">
        <f>IFERROR(IF(13&lt;=DAY(EOMONTH(DATE(Einstellungen!$B$3,12,1),0)),DATE(Einstellungen!$B$3,12,13),""),"")</f>
        <v>46369</v>
      </c>
      <c r="B17" s="23" t="str">
        <f>IF(A17="","",TEXT(A17,"TTT"))</f>
        <v>So</v>
      </c>
      <c r="C17" s="24"/>
      <c r="D17" s="24"/>
      <c r="E17" s="24"/>
      <c r="F17" s="24"/>
      <c r="G17" s="24"/>
      <c r="H17" s="24"/>
      <c r="I17" s="24"/>
      <c r="J17" s="24"/>
      <c r="K17" s="24"/>
      <c r="L17" s="16">
        <f>IF(A17="","",IFERROR(SUM(C17:K17),0))</f>
        <v>0</v>
      </c>
      <c r="M17" s="25"/>
    </row>
    <row r="18" spans="1:13">
      <c r="A18" s="26">
        <f>IFERROR(IF(14&lt;=DAY(EOMONTH(DATE(Einstellungen!$B$3,12,1),0)),DATE(Einstellungen!$B$3,12,14),""),"")</f>
        <v>46370</v>
      </c>
      <c r="B18" s="27" t="str">
        <f>IF(A18="","",TEXT(A18,"TTT"))</f>
        <v>Mo</v>
      </c>
      <c r="C18" s="28"/>
      <c r="D18" s="28"/>
      <c r="E18" s="28"/>
      <c r="F18" s="28"/>
      <c r="G18" s="28"/>
      <c r="H18" s="28"/>
      <c r="I18" s="28"/>
      <c r="J18" s="28"/>
      <c r="K18" s="28"/>
      <c r="L18" s="16">
        <f>IF(A18="","",IFERROR(SUM(C18:K18),0))</f>
        <v>0</v>
      </c>
      <c r="M18" s="29"/>
    </row>
    <row r="19" spans="1:13">
      <c r="A19" s="22">
        <f>IFERROR(IF(15&lt;=DAY(EOMONTH(DATE(Einstellungen!$B$3,12,1),0)),DATE(Einstellungen!$B$3,12,15),""),"")</f>
        <v>46371</v>
      </c>
      <c r="B19" s="23" t="str">
        <f>IF(A19="","",TEXT(A19,"TTT"))</f>
        <v>Di</v>
      </c>
      <c r="C19" s="24"/>
      <c r="D19" s="24"/>
      <c r="E19" s="24"/>
      <c r="F19" s="24"/>
      <c r="G19" s="24"/>
      <c r="H19" s="24"/>
      <c r="I19" s="24"/>
      <c r="J19" s="24"/>
      <c r="K19" s="24"/>
      <c r="L19" s="16">
        <f>IF(A19="","",IFERROR(SUM(C19:K19),0))</f>
        <v>0</v>
      </c>
      <c r="M19" s="25"/>
    </row>
    <row r="20" spans="1:13">
      <c r="A20" s="26">
        <f>IFERROR(IF(16&lt;=DAY(EOMONTH(DATE(Einstellungen!$B$3,12,1),0)),DATE(Einstellungen!$B$3,12,16),""),"")</f>
        <v>46372</v>
      </c>
      <c r="B20" s="27" t="str">
        <f>IF(A20="","",TEXT(A20,"TTT"))</f>
        <v>Mi</v>
      </c>
      <c r="C20" s="28"/>
      <c r="D20" s="28"/>
      <c r="E20" s="28"/>
      <c r="F20" s="28"/>
      <c r="G20" s="28"/>
      <c r="H20" s="28"/>
      <c r="I20" s="28"/>
      <c r="J20" s="28"/>
      <c r="K20" s="28"/>
      <c r="L20" s="16">
        <f>IF(A20="","",IFERROR(SUM(C20:K20),0))</f>
        <v>0</v>
      </c>
      <c r="M20" s="29"/>
    </row>
    <row r="21" spans="1:13">
      <c r="A21" s="22">
        <f>IFERROR(IF(17&lt;=DAY(EOMONTH(DATE(Einstellungen!$B$3,12,1),0)),DATE(Einstellungen!$B$3,12,17),""),"")</f>
        <v>46373</v>
      </c>
      <c r="B21" s="23" t="str">
        <f>IF(A21="","",TEXT(A21,"TTT"))</f>
        <v>Do</v>
      </c>
      <c r="C21" s="24"/>
      <c r="D21" s="24"/>
      <c r="E21" s="24"/>
      <c r="F21" s="24"/>
      <c r="G21" s="24"/>
      <c r="H21" s="24"/>
      <c r="I21" s="24"/>
      <c r="J21" s="24"/>
      <c r="K21" s="24"/>
      <c r="L21" s="16">
        <f>IF(A21="","",IFERROR(SUM(C21:K21),0))</f>
        <v>0</v>
      </c>
      <c r="M21" s="25"/>
    </row>
    <row r="22" spans="1:13">
      <c r="A22" s="26">
        <f>IFERROR(IF(18&lt;=DAY(EOMONTH(DATE(Einstellungen!$B$3,12,1),0)),DATE(Einstellungen!$B$3,12,18),""),"")</f>
        <v>46374</v>
      </c>
      <c r="B22" s="27" t="str">
        <f>IF(A22="","",TEXT(A22,"TTT"))</f>
        <v>Fr</v>
      </c>
      <c r="C22" s="28"/>
      <c r="D22" s="28"/>
      <c r="E22" s="28"/>
      <c r="F22" s="28"/>
      <c r="G22" s="28"/>
      <c r="H22" s="28"/>
      <c r="I22" s="28"/>
      <c r="J22" s="28"/>
      <c r="K22" s="28"/>
      <c r="L22" s="16">
        <f>IF(A22="","",IFERROR(SUM(C22:K22),0))</f>
        <v>0</v>
      </c>
      <c r="M22" s="29"/>
    </row>
    <row r="23" spans="1:13">
      <c r="A23" s="22">
        <f>IFERROR(IF(19&lt;=DAY(EOMONTH(DATE(Einstellungen!$B$3,12,1),0)),DATE(Einstellungen!$B$3,12,19),""),"")</f>
        <v>46375</v>
      </c>
      <c r="B23" s="23" t="str">
        <f>IF(A23="","",TEXT(A23,"TTT"))</f>
        <v>Sa</v>
      </c>
      <c r="C23" s="24"/>
      <c r="D23" s="24"/>
      <c r="E23" s="24"/>
      <c r="F23" s="24"/>
      <c r="G23" s="24"/>
      <c r="H23" s="24"/>
      <c r="I23" s="24"/>
      <c r="J23" s="24"/>
      <c r="K23" s="24"/>
      <c r="L23" s="16">
        <f>IF(A23="","",IFERROR(SUM(C23:K23),0))</f>
        <v>0</v>
      </c>
      <c r="M23" s="25"/>
    </row>
    <row r="24" spans="1:13">
      <c r="A24" s="26">
        <f>IFERROR(IF(20&lt;=DAY(EOMONTH(DATE(Einstellungen!$B$3,12,1),0)),DATE(Einstellungen!$B$3,12,20),""),"")</f>
        <v>46376</v>
      </c>
      <c r="B24" s="27" t="str">
        <f>IF(A24="","",TEXT(A24,"TTT"))</f>
        <v>So</v>
      </c>
      <c r="C24" s="28"/>
      <c r="D24" s="28"/>
      <c r="E24" s="28"/>
      <c r="F24" s="28"/>
      <c r="G24" s="28"/>
      <c r="H24" s="28"/>
      <c r="I24" s="28"/>
      <c r="J24" s="28"/>
      <c r="K24" s="28"/>
      <c r="L24" s="16">
        <f>IF(A24="","",IFERROR(SUM(C24:K24),0))</f>
        <v>0</v>
      </c>
      <c r="M24" s="29"/>
    </row>
    <row r="25" spans="1:13">
      <c r="A25" s="22">
        <f>IFERROR(IF(21&lt;=DAY(EOMONTH(DATE(Einstellungen!$B$3,12,1),0)),DATE(Einstellungen!$B$3,12,21),""),"")</f>
        <v>46377</v>
      </c>
      <c r="B25" s="23" t="str">
        <f>IF(A25="","",TEXT(A25,"TTT"))</f>
        <v>Mo</v>
      </c>
      <c r="C25" s="24"/>
      <c r="D25" s="24"/>
      <c r="E25" s="24"/>
      <c r="F25" s="24"/>
      <c r="G25" s="24"/>
      <c r="H25" s="24"/>
      <c r="I25" s="24"/>
      <c r="J25" s="24"/>
      <c r="K25" s="24"/>
      <c r="L25" s="16">
        <f>IF(A25="","",IFERROR(SUM(C25:K25),0))</f>
        <v>0</v>
      </c>
      <c r="M25" s="25"/>
    </row>
    <row r="26" spans="1:13">
      <c r="A26" s="26">
        <f>IFERROR(IF(22&lt;=DAY(EOMONTH(DATE(Einstellungen!$B$3,12,1),0)),DATE(Einstellungen!$B$3,12,22),""),"")</f>
        <v>46378</v>
      </c>
      <c r="B26" s="27" t="str">
        <f>IF(A26="","",TEXT(A26,"TTT"))</f>
        <v>Di</v>
      </c>
      <c r="C26" s="28"/>
      <c r="D26" s="28"/>
      <c r="E26" s="28"/>
      <c r="F26" s="28"/>
      <c r="G26" s="28"/>
      <c r="H26" s="28"/>
      <c r="I26" s="28"/>
      <c r="J26" s="28"/>
      <c r="K26" s="28"/>
      <c r="L26" s="16">
        <f>IF(A26="","",IFERROR(SUM(C26:K26),0))</f>
        <v>0</v>
      </c>
      <c r="M26" s="29"/>
    </row>
    <row r="27" spans="1:13">
      <c r="A27" s="22">
        <f>IFERROR(IF(23&lt;=DAY(EOMONTH(DATE(Einstellungen!$B$3,12,1),0)),DATE(Einstellungen!$B$3,12,23),""),"")</f>
        <v>46379</v>
      </c>
      <c r="B27" s="23" t="str">
        <f>IF(A27="","",TEXT(A27,"TTT"))</f>
        <v>Mi</v>
      </c>
      <c r="C27" s="24"/>
      <c r="D27" s="24"/>
      <c r="E27" s="24"/>
      <c r="F27" s="24"/>
      <c r="G27" s="24"/>
      <c r="H27" s="24"/>
      <c r="I27" s="24"/>
      <c r="J27" s="24"/>
      <c r="K27" s="24"/>
      <c r="L27" s="16">
        <f>IF(A27="","",IFERROR(SUM(C27:K27),0))</f>
        <v>0</v>
      </c>
      <c r="M27" s="25"/>
    </row>
    <row r="28" spans="1:13">
      <c r="A28" s="26">
        <f>IFERROR(IF(24&lt;=DAY(EOMONTH(DATE(Einstellungen!$B$3,12,1),0)),DATE(Einstellungen!$B$3,12,24),""),"")</f>
        <v>46380</v>
      </c>
      <c r="B28" s="27" t="str">
        <f>IF(A28="","",TEXT(A28,"TTT"))</f>
        <v>Do</v>
      </c>
      <c r="C28" s="28"/>
      <c r="D28" s="28"/>
      <c r="E28" s="28"/>
      <c r="F28" s="28"/>
      <c r="G28" s="28"/>
      <c r="H28" s="28"/>
      <c r="I28" s="28"/>
      <c r="J28" s="28"/>
      <c r="K28" s="28"/>
      <c r="L28" s="16">
        <f>IF(A28="","",IFERROR(SUM(C28:K28),0))</f>
        <v>0</v>
      </c>
      <c r="M28" s="29"/>
    </row>
    <row r="29" spans="1:13">
      <c r="A29" s="22">
        <f>IFERROR(IF(25&lt;=DAY(EOMONTH(DATE(Einstellungen!$B$3,12,1),0)),DATE(Einstellungen!$B$3,12,25),""),"")</f>
        <v>46381</v>
      </c>
      <c r="B29" s="23" t="str">
        <f>IF(A29="","",TEXT(A29,"TTT"))</f>
        <v>Fr</v>
      </c>
      <c r="C29" s="24"/>
      <c r="D29" s="24"/>
      <c r="E29" s="24"/>
      <c r="F29" s="24"/>
      <c r="G29" s="24"/>
      <c r="H29" s="24"/>
      <c r="I29" s="24"/>
      <c r="J29" s="24"/>
      <c r="K29" s="24"/>
      <c r="L29" s="16">
        <f>IF(A29="","",IFERROR(SUM(C29:K29),0))</f>
        <v>0</v>
      </c>
      <c r="M29" s="25"/>
    </row>
    <row r="30" spans="1:13">
      <c r="A30" s="26">
        <f>IFERROR(IF(26&lt;=DAY(EOMONTH(DATE(Einstellungen!$B$3,12,1),0)),DATE(Einstellungen!$B$3,12,26),""),"")</f>
        <v>46382</v>
      </c>
      <c r="B30" s="27" t="str">
        <f>IF(A30="","",TEXT(A30,"TTT"))</f>
        <v>Sa</v>
      </c>
      <c r="C30" s="28"/>
      <c r="D30" s="28"/>
      <c r="E30" s="28"/>
      <c r="F30" s="28"/>
      <c r="G30" s="28"/>
      <c r="H30" s="28"/>
      <c r="I30" s="28"/>
      <c r="J30" s="28"/>
      <c r="K30" s="28"/>
      <c r="L30" s="16">
        <f>IF(A30="","",IFERROR(SUM(C30:K30),0))</f>
        <v>0</v>
      </c>
      <c r="M30" s="29"/>
    </row>
    <row r="31" spans="1:13">
      <c r="A31" s="22">
        <f>IFERROR(IF(27&lt;=DAY(EOMONTH(DATE(Einstellungen!$B$3,12,1),0)),DATE(Einstellungen!$B$3,12,27),""),"")</f>
        <v>46383</v>
      </c>
      <c r="B31" s="23" t="str">
        <f>IF(A31="","",TEXT(A31,"TTT"))</f>
        <v>So</v>
      </c>
      <c r="C31" s="24"/>
      <c r="D31" s="24"/>
      <c r="E31" s="24"/>
      <c r="F31" s="24"/>
      <c r="G31" s="24"/>
      <c r="H31" s="24"/>
      <c r="I31" s="24"/>
      <c r="J31" s="24"/>
      <c r="K31" s="24"/>
      <c r="L31" s="16">
        <f>IF(A31="","",IFERROR(SUM(C31:K31),0))</f>
        <v>0</v>
      </c>
      <c r="M31" s="25"/>
    </row>
    <row r="32" spans="1:13">
      <c r="A32" s="26">
        <f>IFERROR(IF(28&lt;=DAY(EOMONTH(DATE(Einstellungen!$B$3,12,1),0)),DATE(Einstellungen!$B$3,12,28),""),"")</f>
        <v>46384</v>
      </c>
      <c r="B32" s="27" t="str">
        <f>IF(A32="","",TEXT(A32,"TTT"))</f>
        <v>Mo</v>
      </c>
      <c r="C32" s="28"/>
      <c r="D32" s="28"/>
      <c r="E32" s="28"/>
      <c r="F32" s="28"/>
      <c r="G32" s="28"/>
      <c r="H32" s="28"/>
      <c r="I32" s="28"/>
      <c r="J32" s="28"/>
      <c r="K32" s="28"/>
      <c r="L32" s="16">
        <f>IF(A32="","",IFERROR(SUM(C32:K32),0))</f>
        <v>0</v>
      </c>
      <c r="M32" s="29"/>
    </row>
    <row r="33" spans="1:13">
      <c r="A33" s="22">
        <f>IFERROR(IF(29&lt;=DAY(EOMONTH(DATE(Einstellungen!$B$3,12,1),0)),DATE(Einstellungen!$B$3,12,29),""),"")</f>
        <v>46385</v>
      </c>
      <c r="B33" s="23" t="str">
        <f>IF(A33="","",TEXT(A33,"TTT"))</f>
        <v>Di</v>
      </c>
      <c r="C33" s="24"/>
      <c r="D33" s="24"/>
      <c r="E33" s="24"/>
      <c r="F33" s="24"/>
      <c r="G33" s="24"/>
      <c r="H33" s="24"/>
      <c r="I33" s="24"/>
      <c r="J33" s="24"/>
      <c r="K33" s="24"/>
      <c r="L33" s="16">
        <f>IF(A33="","",IFERROR(SUM(C33:K33),0))</f>
        <v>0</v>
      </c>
      <c r="M33" s="25"/>
    </row>
    <row r="34" spans="1:13">
      <c r="A34" s="26">
        <f>IFERROR(IF(30&lt;=DAY(EOMONTH(DATE(Einstellungen!$B$3,12,1),0)),DATE(Einstellungen!$B$3,12,30),""),"")</f>
        <v>46386</v>
      </c>
      <c r="B34" s="27" t="str">
        <f>IF(A34="","",TEXT(A34,"TTT"))</f>
        <v>Mi</v>
      </c>
      <c r="C34" s="28"/>
      <c r="D34" s="28"/>
      <c r="E34" s="28"/>
      <c r="F34" s="28"/>
      <c r="G34" s="28"/>
      <c r="H34" s="28"/>
      <c r="I34" s="28"/>
      <c r="J34" s="28"/>
      <c r="K34" s="28"/>
      <c r="L34" s="16">
        <f>IF(A34="","",IFERROR(SUM(C34:K34),0))</f>
        <v>0</v>
      </c>
      <c r="M34" s="29"/>
    </row>
    <row r="35" spans="1:13">
      <c r="A35" s="22">
        <f>IFERROR(IF(31&lt;=DAY(EOMONTH(DATE(Einstellungen!$B$3,12,1),0)),DATE(Einstellungen!$B$3,12,31),""),"")</f>
        <v>46387</v>
      </c>
      <c r="B35" s="23" t="str">
        <f>IF(A35="","",TEXT(A35,"TTT"))</f>
        <v>Do</v>
      </c>
      <c r="C35" s="24"/>
      <c r="D35" s="24"/>
      <c r="E35" s="24"/>
      <c r="F35" s="24"/>
      <c r="G35" s="24"/>
      <c r="H35" s="24"/>
      <c r="I35" s="24"/>
      <c r="J35" s="24"/>
      <c r="K35" s="24"/>
      <c r="L35" s="16">
        <f>IF(A35="","",IFERROR(SUM(C35:K35),0))</f>
        <v>0</v>
      </c>
      <c r="M35" s="25"/>
    </row>
    <row r="37" spans="1:13" ht="21.75" customHeight="1">
      <c r="A37" s="1" t="s">
        <v>81</v>
      </c>
      <c r="B37" s="1"/>
      <c r="C37" s="16">
        <f>SUM(C5:C35)</f>
        <v>0</v>
      </c>
      <c r="D37" s="16">
        <f>SUM(D5:D35)</f>
        <v>0</v>
      </c>
      <c r="E37" s="16">
        <f>SUM(E5:E35)</f>
        <v>0</v>
      </c>
      <c r="F37" s="16">
        <f>SUM(F5:F35)</f>
        <v>0</v>
      </c>
      <c r="G37" s="16">
        <f>SUM(G5:G35)</f>
        <v>0</v>
      </c>
      <c r="H37" s="16">
        <f>SUM(H5:H35)</f>
        <v>0</v>
      </c>
      <c r="I37" s="16">
        <f>SUM(I5:I35)</f>
        <v>0</v>
      </c>
      <c r="J37" s="16">
        <f>SUM(J5:J35)</f>
        <v>0</v>
      </c>
      <c r="K37" s="16">
        <f>SUM(K5:K35)</f>
        <v>0</v>
      </c>
      <c r="L37" s="17">
        <f>SUM(C37:K37)</f>
        <v>0</v>
      </c>
    </row>
    <row r="40" spans="1:13" ht="21.75" customHeight="1">
      <c r="A40" s="6" t="s">
        <v>82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ht="19.5" customHeight="1">
      <c r="A41" s="11" t="s">
        <v>77</v>
      </c>
      <c r="B41" s="11" t="s">
        <v>4</v>
      </c>
      <c r="C41" s="11" t="s">
        <v>32</v>
      </c>
      <c r="D41" s="11" t="s">
        <v>83</v>
      </c>
      <c r="E41" s="11" t="s">
        <v>84</v>
      </c>
    </row>
    <row r="42" spans="1:13">
      <c r="A42" s="22"/>
      <c r="B42" s="25"/>
      <c r="C42" s="25"/>
      <c r="D42" s="25"/>
      <c r="E42" s="30"/>
    </row>
    <row r="43" spans="1:13">
      <c r="A43" s="26"/>
      <c r="B43" s="29"/>
      <c r="C43" s="29"/>
      <c r="D43" s="29"/>
      <c r="E43" s="31"/>
    </row>
    <row r="44" spans="1:13">
      <c r="A44" s="22"/>
      <c r="B44" s="25"/>
      <c r="C44" s="25"/>
      <c r="D44" s="25"/>
      <c r="E44" s="30"/>
    </row>
    <row r="45" spans="1:13">
      <c r="A45" s="26"/>
      <c r="B45" s="29"/>
      <c r="C45" s="29"/>
      <c r="D45" s="29"/>
      <c r="E45" s="31"/>
    </row>
    <row r="46" spans="1:13">
      <c r="A46" s="22"/>
      <c r="B46" s="25"/>
      <c r="C46" s="25"/>
      <c r="D46" s="25"/>
      <c r="E46" s="30"/>
    </row>
    <row r="47" spans="1:13">
      <c r="A47" s="26"/>
      <c r="B47" s="29"/>
      <c r="C47" s="29"/>
      <c r="D47" s="29"/>
      <c r="E47" s="31"/>
    </row>
    <row r="48" spans="1:13">
      <c r="A48" s="22"/>
      <c r="B48" s="25"/>
      <c r="C48" s="25"/>
      <c r="D48" s="25"/>
      <c r="E48" s="30"/>
    </row>
    <row r="49" spans="1:5">
      <c r="A49" s="26"/>
      <c r="B49" s="29"/>
      <c r="C49" s="29"/>
      <c r="D49" s="29"/>
      <c r="E49" s="31"/>
    </row>
    <row r="50" spans="1:5">
      <c r="A50" s="22"/>
      <c r="B50" s="25"/>
      <c r="C50" s="25"/>
      <c r="D50" s="25"/>
      <c r="E50" s="30"/>
    </row>
    <row r="51" spans="1:5">
      <c r="A51" s="26"/>
      <c r="B51" s="29"/>
      <c r="C51" s="29"/>
      <c r="D51" s="29"/>
      <c r="E51" s="31"/>
    </row>
    <row r="52" spans="1:5">
      <c r="A52" s="22"/>
      <c r="B52" s="25"/>
      <c r="C52" s="25"/>
      <c r="D52" s="25"/>
      <c r="E52" s="30"/>
    </row>
    <row r="53" spans="1:5">
      <c r="A53" s="26"/>
      <c r="B53" s="29"/>
      <c r="C53" s="29"/>
      <c r="D53" s="29"/>
      <c r="E53" s="31"/>
    </row>
    <row r="54" spans="1:5">
      <c r="A54" s="22"/>
      <c r="B54" s="25"/>
      <c r="C54" s="25"/>
      <c r="D54" s="25"/>
      <c r="E54" s="30"/>
    </row>
    <row r="55" spans="1:5">
      <c r="A55" s="26"/>
      <c r="B55" s="29"/>
      <c r="C55" s="29"/>
      <c r="D55" s="29"/>
      <c r="E55" s="31"/>
    </row>
    <row r="56" spans="1:5">
      <c r="A56" s="22"/>
      <c r="B56" s="25"/>
      <c r="C56" s="25"/>
      <c r="D56" s="25"/>
      <c r="E56" s="30"/>
    </row>
    <row r="57" spans="1:5">
      <c r="A57" s="26"/>
      <c r="B57" s="29"/>
      <c r="C57" s="29"/>
      <c r="D57" s="29"/>
      <c r="E57" s="31"/>
    </row>
    <row r="58" spans="1:5">
      <c r="A58" s="22"/>
      <c r="B58" s="25"/>
      <c r="C58" s="25"/>
      <c r="D58" s="25"/>
      <c r="E58" s="30"/>
    </row>
    <row r="59" spans="1:5">
      <c r="A59" s="26"/>
      <c r="B59" s="29"/>
      <c r="C59" s="29"/>
      <c r="D59" s="29"/>
      <c r="E59" s="31"/>
    </row>
    <row r="60" spans="1:5">
      <c r="A60" s="22"/>
      <c r="B60" s="25"/>
      <c r="C60" s="25"/>
      <c r="D60" s="25"/>
      <c r="E60" s="30"/>
    </row>
    <row r="61" spans="1:5">
      <c r="A61" s="26"/>
      <c r="B61" s="29"/>
      <c r="C61" s="29"/>
      <c r="D61" s="29"/>
      <c r="E61" s="31"/>
    </row>
    <row r="62" spans="1:5">
      <c r="A62" s="22"/>
      <c r="B62" s="25"/>
      <c r="C62" s="25"/>
      <c r="D62" s="25"/>
      <c r="E62" s="30"/>
    </row>
    <row r="63" spans="1:5">
      <c r="A63" s="26"/>
      <c r="B63" s="29"/>
      <c r="C63" s="29"/>
      <c r="D63" s="29"/>
      <c r="E63" s="31"/>
    </row>
    <row r="64" spans="1:5">
      <c r="A64" s="22"/>
      <c r="B64" s="25"/>
      <c r="C64" s="25"/>
      <c r="D64" s="25"/>
      <c r="E64" s="30"/>
    </row>
    <row r="65" spans="1:5">
      <c r="A65" s="26"/>
      <c r="B65" s="29"/>
      <c r="C65" s="29"/>
      <c r="D65" s="29"/>
      <c r="E65" s="31"/>
    </row>
    <row r="66" spans="1:5">
      <c r="A66" s="22"/>
      <c r="B66" s="25"/>
      <c r="C66" s="25"/>
      <c r="D66" s="25"/>
      <c r="E66" s="30"/>
    </row>
    <row r="67" spans="1:5">
      <c r="A67" s="26"/>
      <c r="B67" s="29"/>
      <c r="C67" s="29"/>
      <c r="D67" s="29"/>
      <c r="E67" s="31"/>
    </row>
    <row r="68" spans="1:5">
      <c r="A68" s="22"/>
      <c r="B68" s="25"/>
      <c r="C68" s="25"/>
      <c r="D68" s="25"/>
      <c r="E68" s="30"/>
    </row>
    <row r="69" spans="1:5">
      <c r="A69" s="26"/>
      <c r="B69" s="29"/>
      <c r="C69" s="29"/>
      <c r="D69" s="29"/>
      <c r="E69" s="31"/>
    </row>
    <row r="70" spans="1:5">
      <c r="A70" s="22"/>
      <c r="B70" s="25"/>
      <c r="C70" s="25"/>
      <c r="D70" s="25"/>
      <c r="E70" s="30"/>
    </row>
    <row r="71" spans="1:5">
      <c r="A71" s="26"/>
      <c r="B71" s="29"/>
      <c r="C71" s="29"/>
      <c r="D71" s="29"/>
      <c r="E71" s="31"/>
    </row>
    <row r="72" spans="1:5">
      <c r="A72" s="22"/>
      <c r="B72" s="25"/>
      <c r="C72" s="25"/>
      <c r="D72" s="25"/>
      <c r="E72" s="30"/>
    </row>
    <row r="73" spans="1:5">
      <c r="A73" s="26"/>
      <c r="B73" s="29"/>
      <c r="C73" s="29"/>
      <c r="D73" s="29"/>
      <c r="E73" s="31"/>
    </row>
    <row r="74" spans="1:5">
      <c r="A74" s="22"/>
      <c r="B74" s="25"/>
      <c r="C74" s="25"/>
      <c r="D74" s="25"/>
      <c r="E74" s="30"/>
    </row>
    <row r="75" spans="1:5">
      <c r="A75" s="26"/>
      <c r="B75" s="29"/>
      <c r="C75" s="29"/>
      <c r="D75" s="29"/>
      <c r="E75" s="31"/>
    </row>
    <row r="76" spans="1:5">
      <c r="A76" s="22"/>
      <c r="B76" s="25"/>
      <c r="C76" s="25"/>
      <c r="D76" s="25"/>
      <c r="E76" s="30"/>
    </row>
    <row r="77" spans="1:5">
      <c r="A77" s="26"/>
      <c r="B77" s="29"/>
      <c r="C77" s="29"/>
      <c r="D77" s="29"/>
      <c r="E77" s="31"/>
    </row>
    <row r="78" spans="1:5">
      <c r="A78" s="22"/>
      <c r="B78" s="25"/>
      <c r="C78" s="25"/>
      <c r="D78" s="25"/>
      <c r="E78" s="30"/>
    </row>
    <row r="79" spans="1:5">
      <c r="A79" s="26"/>
      <c r="B79" s="29"/>
      <c r="C79" s="29"/>
      <c r="D79" s="29"/>
      <c r="E79" s="31"/>
    </row>
    <row r="80" spans="1:5">
      <c r="A80" s="22"/>
      <c r="B80" s="25"/>
      <c r="C80" s="25"/>
      <c r="D80" s="25"/>
      <c r="E80" s="30"/>
    </row>
    <row r="81" spans="1:5">
      <c r="A81" s="26"/>
      <c r="B81" s="29"/>
      <c r="C81" s="29"/>
      <c r="D81" s="29"/>
      <c r="E81" s="31"/>
    </row>
    <row r="82" spans="1:5">
      <c r="A82" s="22"/>
      <c r="B82" s="25"/>
      <c r="C82" s="25"/>
      <c r="D82" s="25"/>
      <c r="E82" s="30"/>
    </row>
    <row r="83" spans="1:5">
      <c r="A83" s="26"/>
      <c r="B83" s="29"/>
      <c r="C83" s="29"/>
      <c r="D83" s="29"/>
      <c r="E83" s="31"/>
    </row>
    <row r="84" spans="1:5">
      <c r="A84" s="22"/>
      <c r="B84" s="25"/>
      <c r="C84" s="25"/>
      <c r="D84" s="25"/>
      <c r="E84" s="30"/>
    </row>
    <row r="85" spans="1:5">
      <c r="A85" s="26"/>
      <c r="B85" s="29"/>
      <c r="C85" s="29"/>
      <c r="D85" s="29"/>
      <c r="E85" s="31"/>
    </row>
    <row r="86" spans="1:5">
      <c r="A86" s="22"/>
      <c r="B86" s="25"/>
      <c r="C86" s="25"/>
      <c r="D86" s="25"/>
      <c r="E86" s="30"/>
    </row>
    <row r="87" spans="1:5">
      <c r="A87" s="26"/>
      <c r="B87" s="29"/>
      <c r="C87" s="29"/>
      <c r="D87" s="29"/>
      <c r="E87" s="31"/>
    </row>
    <row r="88" spans="1:5">
      <c r="A88" s="22"/>
      <c r="B88" s="25"/>
      <c r="C88" s="25"/>
      <c r="D88" s="25"/>
      <c r="E88" s="30"/>
    </row>
    <row r="89" spans="1:5">
      <c r="A89" s="26"/>
      <c r="B89" s="29"/>
      <c r="C89" s="29"/>
      <c r="D89" s="29"/>
      <c r="E89" s="31"/>
    </row>
    <row r="90" spans="1:5">
      <c r="A90" s="22"/>
      <c r="B90" s="25"/>
      <c r="C90" s="25"/>
      <c r="D90" s="25"/>
      <c r="E90" s="30"/>
    </row>
    <row r="91" spans="1:5">
      <c r="A91" s="26"/>
      <c r="B91" s="29"/>
      <c r="C91" s="29"/>
      <c r="D91" s="29"/>
      <c r="E91" s="31"/>
    </row>
    <row r="93" spans="1:5">
      <c r="A93" s="1" t="s">
        <v>85</v>
      </c>
      <c r="B93" s="1"/>
      <c r="C93" s="1"/>
      <c r="D93" s="1"/>
      <c r="E93" s="16">
        <f>SUM(E42:E91)</f>
        <v>0</v>
      </c>
    </row>
  </sheetData>
  <mergeCells count="5">
    <mergeCell ref="A1:M1"/>
    <mergeCell ref="A3:M3"/>
    <mergeCell ref="A37:B37"/>
    <mergeCell ref="A40:M40"/>
    <mergeCell ref="A93:D93"/>
  </mergeCells>
  <dataValidations count="1">
    <dataValidation type="list" allowBlank="1" sqref="B42:B91" xr:uid="{00000000-0002-0000-0D00-000000000000}">
      <formula1>"Wohnen,Lebensmittel,Transport,Freizeit,Gesundheit,Kleidung,Restaurant,Versicherungen,Sparen"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Tommy Möller</cp:lastModifiedBy>
  <cp:revision>0</cp:revision>
  <dcterms:created xsi:type="dcterms:W3CDTF">2026-05-09T19:29:24Z</dcterms:created>
  <dcterms:modified xsi:type="dcterms:W3CDTF">2026-05-09T21:33:44Z</dcterms:modified>
  <cp:category/>
  <cp:contentStatus/>
</cp:coreProperties>
</file>